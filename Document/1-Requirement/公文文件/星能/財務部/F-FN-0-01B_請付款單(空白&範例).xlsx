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mfs\汽電財務部共用\ISO\TCC_110年增修\"/>
    </mc:Choice>
  </mc:AlternateContent>
  <bookViews>
    <workbookView xWindow="0" yWindow="0" windowWidth="23040" windowHeight="10242"/>
  </bookViews>
  <sheets>
    <sheet name="空白" sheetId="1" r:id="rId1"/>
    <sheet name="填寫說明" sheetId="3" r:id="rId2"/>
    <sheet name="範例(租金_自然人)" sheetId="2" r:id="rId3"/>
    <sheet name="範例(租金_法人)" sheetId="6" r:id="rId4"/>
    <sheet name="範例(執行業務)" sheetId="5" r:id="rId5"/>
  </sheets>
  <definedNames>
    <definedName name="_xlnm.Print_Titles" localSheetId="0">空白!$1:$1</definedName>
    <definedName name="_xlnm.Print_Titles" localSheetId="1">填寫說明!$1:$1</definedName>
    <definedName name="_xlnm.Print_Titles" localSheetId="2">'範例(租金_自然人)'!$1:$1</definedName>
    <definedName name="_xlnm.Print_Titles" localSheetId="3">'範例(租金_法人)'!$1:$1</definedName>
    <definedName name="_xlnm.Print_Titles" localSheetId="4">'範例(執行業務)'!$1:$1</definedName>
  </definedName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5" l="1"/>
  <c r="H21" i="5"/>
  <c r="H11" i="6"/>
  <c r="H12" i="6"/>
  <c r="M21" i="1"/>
  <c r="H21" i="1"/>
  <c r="H18" i="6"/>
  <c r="M21" i="6"/>
  <c r="H21" i="6"/>
  <c r="H13" i="5"/>
  <c r="H14" i="5"/>
  <c r="H11" i="5"/>
  <c r="H18" i="5"/>
  <c r="H19" i="5"/>
  <c r="M21" i="2"/>
  <c r="J12" i="2"/>
  <c r="H20" i="2"/>
  <c r="J11" i="2"/>
  <c r="J13" i="2"/>
  <c r="H18" i="2"/>
  <c r="H19" i="2"/>
  <c r="H21" i="2"/>
</calcChain>
</file>

<file path=xl/comments1.xml><?xml version="1.0" encoding="utf-8"?>
<comments xmlns="http://schemas.openxmlformats.org/spreadsheetml/2006/main">
  <authors>
    <author>e042</author>
  </authors>
  <commentList>
    <comment ref="A4" authorId="0" shapeId="0">
      <text>
        <r>
          <rPr>
            <sz val="12"/>
            <color indexed="81"/>
            <rFont val="細明體"/>
            <family val="3"/>
            <charset val="136"/>
          </rPr>
          <t>增加請購單號便於查詢</t>
        </r>
      </text>
    </comment>
    <comment ref="A7" authorId="0" shapeId="0">
      <text>
        <r>
          <rPr>
            <sz val="12"/>
            <color indexed="81"/>
            <rFont val="細明體"/>
            <family val="3"/>
            <charset val="136"/>
          </rPr>
          <t>請款流程必填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細明體"/>
            <family val="3"/>
            <charset val="136"/>
          </rPr>
          <t>可複選</t>
        </r>
        <r>
          <rPr>
            <sz val="12"/>
            <color indexed="81"/>
            <rFont val="Tahoma"/>
            <family val="2"/>
          </rPr>
          <t xml:space="preserve">, 
</t>
        </r>
        <r>
          <rPr>
            <sz val="12"/>
            <color indexed="81"/>
            <rFont val="細明體"/>
            <family val="3"/>
            <charset val="136"/>
          </rPr>
          <t>付款流程可修改</t>
        </r>
      </text>
    </comment>
    <comment ref="G7" authorId="0" shapeId="0">
      <text>
        <r>
          <rPr>
            <sz val="12"/>
            <color indexed="81"/>
            <rFont val="細明體"/>
            <family val="3"/>
            <charset val="136"/>
          </rPr>
          <t>增加一個選項
申報個人所得需檢附身份證影本, 捐贈需檢附核准文號及地址</t>
        </r>
      </text>
    </comment>
    <comment ref="N16" authorId="0" shapeId="0">
      <text>
        <r>
          <rPr>
            <sz val="12"/>
            <color indexed="81"/>
            <rFont val="細明體"/>
            <family val="3"/>
            <charset val="136"/>
          </rPr>
          <t>申請人填寫外加</t>
        </r>
        <r>
          <rPr>
            <sz val="12"/>
            <color indexed="81"/>
            <rFont val="Tahoma"/>
            <family val="2"/>
          </rPr>
          <t>or</t>
        </r>
        <r>
          <rPr>
            <sz val="12"/>
            <color indexed="81"/>
            <rFont val="細明體"/>
            <family val="3"/>
            <charset val="136"/>
          </rPr>
          <t>內含</t>
        </r>
      </text>
    </comment>
    <comment ref="G17" authorId="0" shapeId="0">
      <text>
        <r>
          <rPr>
            <sz val="12"/>
            <color indexed="81"/>
            <rFont val="細明體"/>
            <family val="3"/>
            <charset val="136"/>
          </rPr>
          <t>不同幣別請分開驗收及請款</t>
        </r>
      </text>
    </comment>
    <comment ref="A18" authorId="0" shapeId="0">
      <text>
        <r>
          <rPr>
            <sz val="12"/>
            <color indexed="81"/>
            <rFont val="細明體"/>
            <family val="3"/>
            <charset val="136"/>
          </rPr>
          <t>項次依需求可增減列示</t>
        </r>
      </text>
    </comment>
    <comment ref="F18" authorId="0" shapeId="0">
      <text>
        <r>
          <rPr>
            <sz val="12"/>
            <color indexed="81"/>
            <rFont val="細明體"/>
            <family val="3"/>
            <charset val="136"/>
          </rPr>
          <t>電匯</t>
        </r>
        <r>
          <rPr>
            <sz val="12"/>
            <color indexed="81"/>
            <rFont val="Tahoma"/>
            <family val="2"/>
          </rPr>
          <t>or</t>
        </r>
        <r>
          <rPr>
            <sz val="12"/>
            <color indexed="81"/>
            <rFont val="細明體"/>
            <family val="3"/>
            <charset val="136"/>
          </rPr>
          <t>現金</t>
        </r>
        <r>
          <rPr>
            <sz val="12"/>
            <color indexed="81"/>
            <rFont val="Tahoma"/>
            <family val="2"/>
          </rPr>
          <t>or</t>
        </r>
        <r>
          <rPr>
            <sz val="12"/>
            <color indexed="81"/>
            <rFont val="細明體"/>
            <family val="3"/>
            <charset val="136"/>
          </rPr>
          <t>支票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" authorId="0" shapeId="0">
      <text>
        <r>
          <rPr>
            <sz val="12"/>
            <color indexed="81"/>
            <rFont val="細明體"/>
            <family val="3"/>
            <charset val="136"/>
          </rPr>
          <t>由財務部填寫付款銀行及匯費金額</t>
        </r>
      </text>
    </comment>
    <comment ref="M22" authorId="0" shapeId="0">
      <text>
        <r>
          <rPr>
            <sz val="12"/>
            <color indexed="81"/>
            <rFont val="細明體"/>
            <family val="3"/>
            <charset val="136"/>
          </rPr>
          <t>週轉金之付款流程於帳審完成後結束</t>
        </r>
        <r>
          <rPr>
            <sz val="12"/>
            <color indexed="81"/>
            <rFont val="Tahoma"/>
            <family val="2"/>
          </rPr>
          <t xml:space="preserve">, 
</t>
        </r>
        <r>
          <rPr>
            <sz val="12"/>
            <color indexed="81"/>
            <rFont val="細明體"/>
            <family val="3"/>
            <charset val="136"/>
          </rPr>
          <t>核定另於彙總表簽核</t>
        </r>
      </text>
    </comment>
  </commentList>
</comments>
</file>

<file path=xl/comments2.xml><?xml version="1.0" encoding="utf-8"?>
<comments xmlns="http://schemas.openxmlformats.org/spreadsheetml/2006/main">
  <authors>
    <author>e042</author>
  </authors>
  <commentList>
    <comment ref="J11" authorId="0" shapeId="0">
      <text>
        <r>
          <rPr>
            <b/>
            <sz val="12"/>
            <color indexed="81"/>
            <rFont val="細明體"/>
            <family val="3"/>
            <charset val="136"/>
          </rPr>
          <t>需填具:各類所得扣繳稅額繳款書</t>
        </r>
      </text>
    </comment>
    <comment ref="J12" authorId="0" shapeId="0">
      <text>
        <r>
          <rPr>
            <sz val="12"/>
            <color indexed="81"/>
            <rFont val="細明體"/>
            <family val="3"/>
            <charset val="136"/>
          </rPr>
          <t>需填具</t>
        </r>
        <r>
          <rPr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細明體"/>
            <family val="3"/>
            <charset val="136"/>
          </rPr>
          <t>補充保費繳款書</t>
        </r>
      </text>
    </comment>
  </commentList>
</comments>
</file>

<file path=xl/comments3.xml><?xml version="1.0" encoding="utf-8"?>
<comments xmlns="http://schemas.openxmlformats.org/spreadsheetml/2006/main">
  <authors>
    <author>e042</author>
  </authors>
  <commentList>
    <comment ref="H13" authorId="0" shapeId="0">
      <text>
        <r>
          <rPr>
            <b/>
            <sz val="12"/>
            <color indexed="81"/>
            <rFont val="細明體"/>
            <family val="3"/>
            <charset val="136"/>
          </rPr>
          <t>需填具:各類所得扣繳稅額繳款書</t>
        </r>
      </text>
    </comment>
  </commentList>
</comments>
</file>

<file path=xl/sharedStrings.xml><?xml version="1.0" encoding="utf-8"?>
<sst xmlns="http://schemas.openxmlformats.org/spreadsheetml/2006/main" count="249" uniqueCount="85">
  <si>
    <r>
      <rPr>
        <sz val="12"/>
        <rFont val="標楷體"/>
        <family val="4"/>
        <charset val="136"/>
      </rPr>
      <t>專案工作代號：</t>
    </r>
  </si>
  <si>
    <t>合約編號：</t>
    <phoneticPr fontId="4" type="noConversion"/>
  </si>
  <si>
    <t>請購單號：</t>
    <phoneticPr fontId="4" type="noConversion"/>
  </si>
  <si>
    <t>付款方式</t>
    <phoneticPr fontId="5" type="noConversion"/>
  </si>
  <si>
    <t>請
款</t>
    <phoneticPr fontId="5" type="noConversion"/>
  </si>
  <si>
    <t>幣別</t>
    <phoneticPr fontId="5" type="noConversion"/>
  </si>
  <si>
    <t>單據後補</t>
    <phoneticPr fontId="5" type="noConversion"/>
  </si>
  <si>
    <t xml:space="preserve">  110/10/26</t>
    <phoneticPr fontId="5" type="noConversion"/>
  </si>
  <si>
    <t>付 款 對 象</t>
    <phoneticPr fontId="5" type="noConversion"/>
  </si>
  <si>
    <t>領款
簽章</t>
    <phoneticPr fontId="5" type="noConversion"/>
  </si>
  <si>
    <t>財務規劃</t>
    <phoneticPr fontId="5" type="noConversion"/>
  </si>
  <si>
    <t>匯費</t>
    <phoneticPr fontId="5" type="noConversion"/>
  </si>
  <si>
    <t>付款金額</t>
    <phoneticPr fontId="5" type="noConversion"/>
  </si>
  <si>
    <t>核定</t>
    <phoneticPr fontId="5" type="noConversion"/>
  </si>
  <si>
    <t>申請人</t>
    <phoneticPr fontId="5" type="noConversion"/>
  </si>
  <si>
    <t>帳審</t>
    <phoneticPr fontId="5" type="noConversion"/>
  </si>
  <si>
    <t>1.</t>
    <phoneticPr fontId="5" type="noConversion"/>
  </si>
  <si>
    <t>2.</t>
  </si>
  <si>
    <t>3.</t>
  </si>
  <si>
    <t>NTD</t>
    <phoneticPr fontId="5" type="noConversion"/>
  </si>
  <si>
    <r>
      <rPr>
        <b/>
        <sz val="20"/>
        <rFont val="標楷體"/>
        <family val="4"/>
        <charset val="136"/>
      </rPr>
      <t>台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灣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汽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電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共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生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股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份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有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限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公</t>
    </r>
    <r>
      <rPr>
        <b/>
        <sz val="20"/>
        <rFont val="Book Antiqua"/>
        <family val="1"/>
      </rPr>
      <t xml:space="preserve"> </t>
    </r>
    <r>
      <rPr>
        <b/>
        <sz val="20"/>
        <rFont val="標楷體"/>
        <family val="4"/>
        <charset val="136"/>
      </rPr>
      <t>司</t>
    </r>
    <phoneticPr fontId="5" type="noConversion"/>
  </si>
  <si>
    <r>
      <rPr>
        <sz val="14"/>
        <rFont val="標楷體"/>
        <family val="4"/>
        <charset val="136"/>
      </rPr>
      <t>合約金額：</t>
    </r>
    <phoneticPr fontId="4" type="noConversion"/>
  </si>
  <si>
    <r>
      <rPr>
        <b/>
        <sz val="16"/>
        <rFont val="標楷體"/>
        <family val="4"/>
        <charset val="136"/>
      </rPr>
      <t>事由：</t>
    </r>
    <r>
      <rPr>
        <b/>
        <sz val="16"/>
        <rFont val="Times New Roman"/>
        <family val="1"/>
      </rPr>
      <t/>
    </r>
    <phoneticPr fontId="5" type="noConversion"/>
  </si>
  <si>
    <r>
      <rPr>
        <b/>
        <sz val="16"/>
        <rFont val="標楷體"/>
        <family val="4"/>
        <charset val="136"/>
      </rPr>
      <t>單據：</t>
    </r>
    <phoneticPr fontId="5" type="noConversion"/>
  </si>
  <si>
    <r>
      <rPr>
        <b/>
        <sz val="16"/>
        <rFont val="標楷體"/>
        <family val="4"/>
        <charset val="136"/>
      </rPr>
      <t>說明：</t>
    </r>
    <phoneticPr fontId="5" type="noConversion"/>
  </si>
  <si>
    <r>
      <rPr>
        <sz val="16"/>
        <rFont val="標楷體"/>
        <family val="4"/>
        <charset val="136"/>
      </rPr>
      <t>　</t>
    </r>
    <phoneticPr fontId="5" type="noConversion"/>
  </si>
  <si>
    <r>
      <rPr>
        <sz val="14"/>
        <rFont val="標楷體"/>
        <family val="4"/>
        <charset val="136"/>
      </rPr>
      <t>日</t>
    </r>
    <r>
      <rPr>
        <sz val="14"/>
        <rFont val="Book Antiqua"/>
        <family val="1"/>
      </rPr>
      <t xml:space="preserve">       </t>
    </r>
    <r>
      <rPr>
        <sz val="14"/>
        <rFont val="標楷體"/>
        <family val="4"/>
        <charset val="136"/>
      </rPr>
      <t>期</t>
    </r>
    <r>
      <rPr>
        <sz val="12"/>
        <rFont val="Times New Roman"/>
        <family val="1"/>
      </rPr>
      <t/>
    </r>
    <phoneticPr fontId="5" type="noConversion"/>
  </si>
  <si>
    <r>
      <rPr>
        <sz val="14"/>
        <rFont val="標楷體"/>
        <family val="4"/>
        <charset val="136"/>
      </rPr>
      <t>付
款</t>
    </r>
    <phoneticPr fontId="5" type="noConversion"/>
  </si>
  <si>
    <r>
      <rPr>
        <sz val="14"/>
        <rFont val="標楷體"/>
        <family val="4"/>
        <charset val="136"/>
      </rPr>
      <t>核定</t>
    </r>
    <phoneticPr fontId="5" type="noConversion"/>
  </si>
  <si>
    <r>
      <rPr>
        <sz val="12"/>
        <rFont val="標楷體"/>
        <family val="4"/>
        <charset val="136"/>
      </rPr>
      <t>表單編號：</t>
    </r>
    <r>
      <rPr>
        <sz val="12"/>
        <rFont val="Book Antiqua"/>
        <family val="1"/>
      </rPr>
      <t>F-FN-0-01B</t>
    </r>
    <phoneticPr fontId="4" type="noConversion"/>
  </si>
  <si>
    <t>電匯</t>
    <phoneticPr fontId="5" type="noConversion"/>
  </si>
  <si>
    <t>付款銀行</t>
    <phoneticPr fontId="5" type="noConversion"/>
  </si>
  <si>
    <r>
      <rPr>
        <sz val="14"/>
        <rFont val="標楷體"/>
        <family val="4"/>
        <charset val="136"/>
      </rPr>
      <t>金額</t>
    </r>
    <r>
      <rPr>
        <sz val="14"/>
        <rFont val="Book Antiqua"/>
        <family val="1"/>
      </rPr>
      <t>(NTD)</t>
    </r>
    <phoneticPr fontId="5" type="noConversion"/>
  </si>
  <si>
    <t>現金</t>
    <phoneticPr fontId="5" type="noConversion"/>
  </si>
  <si>
    <t>國稅局</t>
    <phoneticPr fontId="5" type="noConversion"/>
  </si>
  <si>
    <t>健保局</t>
    <phoneticPr fontId="5" type="noConversion"/>
  </si>
  <si>
    <t>屋主</t>
    <phoneticPr fontId="5" type="noConversion"/>
  </si>
  <si>
    <t>合   計</t>
    <phoneticPr fontId="5" type="noConversion"/>
  </si>
  <si>
    <r>
      <t>110/8</t>
    </r>
    <r>
      <rPr>
        <sz val="16"/>
        <rFont val="標楷體"/>
        <family val="4"/>
        <charset val="136"/>
      </rPr>
      <t>月宿舍租金</t>
    </r>
    <r>
      <rPr>
        <sz val="16"/>
        <rFont val="Book Antiqua"/>
        <family val="1"/>
      </rPr>
      <t xml:space="preserve">  </t>
    </r>
    <phoneticPr fontId="5" type="noConversion"/>
  </si>
  <si>
    <r>
      <rPr>
        <sz val="16"/>
        <rFont val="標楷體"/>
        <family val="4"/>
        <charset val="136"/>
      </rPr>
      <t>單筆給付達</t>
    </r>
    <r>
      <rPr>
        <sz val="16"/>
        <rFont val="Book Antiqua"/>
        <family val="1"/>
      </rPr>
      <t>2</t>
    </r>
    <r>
      <rPr>
        <sz val="16"/>
        <rFont val="標楷體"/>
        <family val="4"/>
        <charset val="136"/>
      </rPr>
      <t>萬元以上需扣繳二代健保補充保費</t>
    </r>
    <r>
      <rPr>
        <sz val="16"/>
        <rFont val="Book Antiqua"/>
        <family val="1"/>
      </rPr>
      <t>2.11%</t>
    </r>
    <phoneticPr fontId="5" type="noConversion"/>
  </si>
  <si>
    <r>
      <rPr>
        <sz val="16"/>
        <rFont val="標楷體"/>
        <family val="4"/>
        <charset val="136"/>
      </rPr>
      <t>代扣繳稅額</t>
    </r>
    <r>
      <rPr>
        <sz val="16"/>
        <rFont val="Book Antiqua"/>
        <family val="1"/>
      </rPr>
      <t>10% (</t>
    </r>
    <r>
      <rPr>
        <sz val="16"/>
        <rFont val="標楷體"/>
        <family val="4"/>
        <charset val="136"/>
      </rPr>
      <t>達</t>
    </r>
    <r>
      <rPr>
        <sz val="16"/>
        <rFont val="Book Antiqua"/>
        <family val="1"/>
      </rPr>
      <t>2,000</t>
    </r>
    <r>
      <rPr>
        <sz val="16"/>
        <rFont val="標楷體"/>
        <family val="4"/>
        <charset val="136"/>
      </rPr>
      <t>元</t>
    </r>
    <r>
      <rPr>
        <sz val="16"/>
        <rFont val="Book Antiqua"/>
        <family val="1"/>
      </rPr>
      <t>)</t>
    </r>
    <phoneticPr fontId="5" type="noConversion"/>
  </si>
  <si>
    <t>外加</t>
    <phoneticPr fontId="5" type="noConversion"/>
  </si>
  <si>
    <t>外加or內含</t>
    <phoneticPr fontId="5" type="noConversion"/>
  </si>
  <si>
    <r>
      <rPr>
        <sz val="12"/>
        <rFont val="標楷體"/>
        <family val="4"/>
        <charset val="136"/>
      </rPr>
      <t>是否有預算：是</t>
    </r>
    <r>
      <rPr>
        <sz val="12"/>
        <rFont val="Book Antiqua"/>
        <family val="1"/>
      </rPr>
      <t xml:space="preserve">               </t>
    </r>
    <r>
      <rPr>
        <sz val="12"/>
        <rFont val="標楷體"/>
        <family val="4"/>
        <charset val="136"/>
      </rPr>
      <t>否</t>
    </r>
    <r>
      <rPr>
        <sz val="12"/>
        <rFont val="Book Antiqua"/>
        <family val="1"/>
      </rPr>
      <t xml:space="preserve"> </t>
    </r>
    <phoneticPr fontId="5" type="noConversion"/>
  </si>
  <si>
    <r>
      <rPr>
        <sz val="14"/>
        <rFont val="標楷體"/>
        <family val="4"/>
        <charset val="136"/>
      </rPr>
      <t>發票</t>
    </r>
    <r>
      <rPr>
        <sz val="14"/>
        <rFont val="Book Antiqua"/>
        <family val="1"/>
      </rPr>
      <t>(</t>
    </r>
    <r>
      <rPr>
        <sz val="14"/>
        <rFont val="標楷體"/>
        <family val="4"/>
        <charset val="136"/>
      </rPr>
      <t>收據</t>
    </r>
    <r>
      <rPr>
        <sz val="14"/>
        <rFont val="Book Antiqua"/>
        <family val="1"/>
      </rPr>
      <t>)</t>
    </r>
    <r>
      <rPr>
        <sz val="14"/>
        <rFont val="標楷體"/>
        <family val="4"/>
        <charset val="136"/>
      </rPr>
      <t>如附</t>
    </r>
    <phoneticPr fontId="5" type="noConversion"/>
  </si>
  <si>
    <r>
      <rPr>
        <sz val="14"/>
        <rFont val="標楷體"/>
        <family val="4"/>
        <charset val="136"/>
      </rPr>
      <t>合約金額：</t>
    </r>
    <phoneticPr fontId="4" type="noConversion"/>
  </si>
  <si>
    <r>
      <rPr>
        <b/>
        <sz val="16"/>
        <rFont val="標楷體"/>
        <family val="4"/>
        <charset val="136"/>
      </rPr>
      <t>事由：</t>
    </r>
    <r>
      <rPr>
        <b/>
        <sz val="16"/>
        <rFont val="Times New Roman"/>
        <family val="1"/>
      </rPr>
      <t/>
    </r>
    <phoneticPr fontId="5" type="noConversion"/>
  </si>
  <si>
    <r>
      <rPr>
        <sz val="12"/>
        <rFont val="標楷體"/>
        <family val="4"/>
        <charset val="136"/>
      </rPr>
      <t>是否有預算：是</t>
    </r>
    <r>
      <rPr>
        <sz val="12"/>
        <rFont val="Book Antiqua"/>
        <family val="1"/>
      </rPr>
      <t xml:space="preserve">      </t>
    </r>
    <r>
      <rPr>
        <sz val="12"/>
        <rFont val="標楷體"/>
        <family val="4"/>
        <charset val="136"/>
      </rPr>
      <t>　</t>
    </r>
    <r>
      <rPr>
        <sz val="12"/>
        <rFont val="Book Antiqua"/>
        <family val="1"/>
      </rPr>
      <t xml:space="preserve">    </t>
    </r>
    <r>
      <rPr>
        <sz val="12"/>
        <rFont val="標楷體"/>
        <family val="4"/>
        <charset val="136"/>
      </rPr>
      <t>否</t>
    </r>
    <r>
      <rPr>
        <sz val="12"/>
        <rFont val="Book Antiqua"/>
        <family val="1"/>
      </rPr>
      <t xml:space="preserve"> </t>
    </r>
    <phoneticPr fontId="5" type="noConversion"/>
  </si>
  <si>
    <r>
      <rPr>
        <b/>
        <sz val="16"/>
        <rFont val="標楷體"/>
        <family val="4"/>
        <charset val="136"/>
      </rPr>
      <t>單據：</t>
    </r>
    <phoneticPr fontId="5" type="noConversion"/>
  </si>
  <si>
    <r>
      <rPr>
        <sz val="14"/>
        <rFont val="標楷體"/>
        <family val="4"/>
        <charset val="136"/>
      </rPr>
      <t>發票</t>
    </r>
    <r>
      <rPr>
        <sz val="14"/>
        <rFont val="Book Antiqua"/>
        <family val="1"/>
      </rPr>
      <t>(</t>
    </r>
    <r>
      <rPr>
        <sz val="14"/>
        <rFont val="標楷體"/>
        <family val="4"/>
        <charset val="136"/>
      </rPr>
      <t>收據</t>
    </r>
    <r>
      <rPr>
        <sz val="14"/>
        <rFont val="Book Antiqua"/>
        <family val="1"/>
      </rPr>
      <t>)</t>
    </r>
    <r>
      <rPr>
        <sz val="14"/>
        <rFont val="標楷體"/>
        <family val="4"/>
        <charset val="136"/>
      </rPr>
      <t>如附</t>
    </r>
    <phoneticPr fontId="5" type="noConversion"/>
  </si>
  <si>
    <r>
      <t xml:space="preserve">      </t>
    </r>
    <r>
      <rPr>
        <sz val="14"/>
        <rFont val="標楷體"/>
        <family val="4"/>
        <charset val="136"/>
      </rPr>
      <t>週轉金驗收訖</t>
    </r>
    <r>
      <rPr>
        <sz val="14"/>
        <rFont val="Book Antiqua"/>
        <family val="1"/>
      </rPr>
      <t xml:space="preserve"> (</t>
    </r>
    <r>
      <rPr>
        <sz val="14"/>
        <rFont val="標楷體"/>
        <family val="4"/>
        <charset val="136"/>
      </rPr>
      <t>簽章：</t>
    </r>
    <r>
      <rPr>
        <sz val="14"/>
        <rFont val="Book Antiqua"/>
        <family val="1"/>
      </rPr>
      <t xml:space="preserve">                     )</t>
    </r>
    <phoneticPr fontId="5" type="noConversion"/>
  </si>
  <si>
    <r>
      <rPr>
        <b/>
        <sz val="16"/>
        <rFont val="標楷體"/>
        <family val="4"/>
        <charset val="136"/>
      </rPr>
      <t>說明：</t>
    </r>
    <phoneticPr fontId="5" type="noConversion"/>
  </si>
  <si>
    <r>
      <t xml:space="preserve">  </t>
    </r>
    <r>
      <rPr>
        <sz val="14"/>
        <rFont val="標楷體"/>
        <family val="4"/>
        <charset val="136"/>
      </rPr>
      <t>年</t>
    </r>
    <r>
      <rPr>
        <sz val="14"/>
        <rFont val="Book Antiqua"/>
        <family val="1"/>
      </rPr>
      <t xml:space="preserve">   </t>
    </r>
    <r>
      <rPr>
        <sz val="14"/>
        <rFont val="標楷體"/>
        <family val="4"/>
        <charset val="136"/>
      </rPr>
      <t>月</t>
    </r>
    <r>
      <rPr>
        <sz val="14"/>
        <rFont val="Book Antiqua"/>
        <family val="1"/>
      </rPr>
      <t xml:space="preserve">   </t>
    </r>
    <r>
      <rPr>
        <sz val="14"/>
        <rFont val="標楷體"/>
        <family val="4"/>
        <charset val="136"/>
      </rPr>
      <t>日</t>
    </r>
    <phoneticPr fontId="5" type="noConversion"/>
  </si>
  <si>
    <r>
      <rPr>
        <b/>
        <sz val="20"/>
        <rFont val="標楷體"/>
        <family val="4"/>
        <charset val="136"/>
      </rPr>
      <t>請</t>
    </r>
    <r>
      <rPr>
        <b/>
        <sz val="20"/>
        <rFont val="Book Antiqua"/>
        <family val="1"/>
      </rPr>
      <t xml:space="preserve">  /  </t>
    </r>
    <r>
      <rPr>
        <b/>
        <sz val="20"/>
        <rFont val="標楷體"/>
        <family val="4"/>
        <charset val="136"/>
      </rPr>
      <t>付</t>
    </r>
    <r>
      <rPr>
        <b/>
        <sz val="20"/>
        <rFont val="Book Antiqua"/>
        <family val="1"/>
      </rPr>
      <t xml:space="preserve">   </t>
    </r>
    <r>
      <rPr>
        <b/>
        <sz val="20"/>
        <rFont val="標楷體"/>
        <family val="4"/>
        <charset val="136"/>
      </rPr>
      <t>款</t>
    </r>
    <r>
      <rPr>
        <b/>
        <sz val="20"/>
        <rFont val="Book Antiqua"/>
        <family val="1"/>
      </rPr>
      <t xml:space="preserve">   </t>
    </r>
    <r>
      <rPr>
        <b/>
        <sz val="20"/>
        <rFont val="標楷體"/>
        <family val="4"/>
        <charset val="136"/>
      </rPr>
      <t>單</t>
    </r>
    <r>
      <rPr>
        <b/>
        <sz val="20"/>
        <rFont val="Book Antiqua"/>
        <family val="1"/>
      </rPr>
      <t xml:space="preserve">                                                          </t>
    </r>
    <r>
      <rPr>
        <sz val="12"/>
        <rFont val="Book Antiqua"/>
        <family val="1"/>
      </rPr>
      <t xml:space="preserve"> </t>
    </r>
    <phoneticPr fontId="5" type="noConversion"/>
  </si>
  <si>
    <r>
      <rPr>
        <sz val="14"/>
        <rFont val="標楷體"/>
        <family val="4"/>
        <charset val="136"/>
      </rPr>
      <t>其他</t>
    </r>
    <r>
      <rPr>
        <sz val="14"/>
        <rFont val="Book Antiqua"/>
        <family val="1"/>
      </rPr>
      <t xml:space="preserve"> (</t>
    </r>
    <r>
      <rPr>
        <sz val="14"/>
        <rFont val="標楷體"/>
        <family val="4"/>
        <charset val="136"/>
      </rPr>
      <t>說明：</t>
    </r>
    <r>
      <rPr>
        <sz val="14"/>
        <rFont val="Book Antiqua"/>
        <family val="1"/>
      </rPr>
      <t xml:space="preserve">          )</t>
    </r>
    <phoneticPr fontId="5" type="noConversion"/>
  </si>
  <si>
    <t>扣繳申報</t>
    <phoneticPr fontId="5" type="noConversion"/>
  </si>
  <si>
    <r>
      <rPr>
        <sz val="14"/>
        <rFont val="標楷體"/>
        <family val="4"/>
        <charset val="136"/>
      </rPr>
      <t>其他</t>
    </r>
    <r>
      <rPr>
        <sz val="14"/>
        <rFont val="Book Antiqua"/>
        <family val="1"/>
      </rPr>
      <t xml:space="preserve"> (</t>
    </r>
    <r>
      <rPr>
        <sz val="14"/>
        <rFont val="標楷體"/>
        <family val="4"/>
        <charset val="136"/>
      </rPr>
      <t>說明：</t>
    </r>
    <r>
      <rPr>
        <sz val="14"/>
        <rFont val="Book Antiqua"/>
        <family val="1"/>
      </rPr>
      <t xml:space="preserve">               )</t>
    </r>
    <phoneticPr fontId="5" type="noConversion"/>
  </si>
  <si>
    <t>宿舍租金</t>
    <phoneticPr fontId="5" type="noConversion"/>
  </si>
  <si>
    <r>
      <rPr>
        <sz val="14"/>
        <rFont val="標楷體"/>
        <family val="4"/>
        <charset val="136"/>
      </rPr>
      <t>合約金額：</t>
    </r>
    <phoneticPr fontId="4" type="noConversion"/>
  </si>
  <si>
    <r>
      <rPr>
        <b/>
        <sz val="16"/>
        <rFont val="標楷體"/>
        <family val="4"/>
        <charset val="136"/>
      </rPr>
      <t>事由：</t>
    </r>
    <r>
      <rPr>
        <b/>
        <sz val="16"/>
        <rFont val="Times New Roman"/>
        <family val="1"/>
      </rPr>
      <t/>
    </r>
    <phoneticPr fontId="5" type="noConversion"/>
  </si>
  <si>
    <r>
      <rPr>
        <sz val="12"/>
        <rFont val="標楷體"/>
        <family val="4"/>
        <charset val="136"/>
      </rPr>
      <t>是否有預算：是</t>
    </r>
    <r>
      <rPr>
        <sz val="12"/>
        <rFont val="Book Antiqua"/>
        <family val="1"/>
      </rPr>
      <t xml:space="preserve">               </t>
    </r>
    <r>
      <rPr>
        <sz val="12"/>
        <rFont val="標楷體"/>
        <family val="4"/>
        <charset val="136"/>
      </rPr>
      <t>否</t>
    </r>
    <r>
      <rPr>
        <sz val="12"/>
        <rFont val="Book Antiqua"/>
        <family val="1"/>
      </rPr>
      <t xml:space="preserve"> </t>
    </r>
    <phoneticPr fontId="5" type="noConversion"/>
  </si>
  <si>
    <r>
      <rPr>
        <b/>
        <sz val="16"/>
        <rFont val="標楷體"/>
        <family val="4"/>
        <charset val="136"/>
      </rPr>
      <t>單據：</t>
    </r>
    <phoneticPr fontId="5" type="noConversion"/>
  </si>
  <si>
    <r>
      <rPr>
        <sz val="14"/>
        <rFont val="標楷體"/>
        <family val="4"/>
        <charset val="136"/>
      </rPr>
      <t>發票</t>
    </r>
    <r>
      <rPr>
        <sz val="14"/>
        <rFont val="Book Antiqua"/>
        <family val="1"/>
      </rPr>
      <t>(</t>
    </r>
    <r>
      <rPr>
        <sz val="14"/>
        <rFont val="標楷體"/>
        <family val="4"/>
        <charset val="136"/>
      </rPr>
      <t>收據</t>
    </r>
    <r>
      <rPr>
        <sz val="14"/>
        <rFont val="Book Antiqua"/>
        <family val="1"/>
      </rPr>
      <t>)</t>
    </r>
    <r>
      <rPr>
        <sz val="14"/>
        <rFont val="標楷體"/>
        <family val="4"/>
        <charset val="136"/>
      </rPr>
      <t>如附</t>
    </r>
    <phoneticPr fontId="5" type="noConversion"/>
  </si>
  <si>
    <r>
      <rPr>
        <sz val="14"/>
        <rFont val="標楷體"/>
        <family val="4"/>
        <charset val="136"/>
      </rPr>
      <t>其他</t>
    </r>
    <r>
      <rPr>
        <sz val="14"/>
        <rFont val="Book Antiqua"/>
        <family val="1"/>
      </rPr>
      <t xml:space="preserve"> (</t>
    </r>
    <r>
      <rPr>
        <sz val="14"/>
        <rFont val="標楷體"/>
        <family val="4"/>
        <charset val="136"/>
      </rPr>
      <t>說明：</t>
    </r>
    <r>
      <rPr>
        <sz val="14"/>
        <rFont val="Book Antiqua"/>
        <family val="1"/>
      </rPr>
      <t xml:space="preserve">          )</t>
    </r>
    <phoneticPr fontId="5" type="noConversion"/>
  </si>
  <si>
    <r>
      <t xml:space="preserve">      </t>
    </r>
    <r>
      <rPr>
        <sz val="14"/>
        <rFont val="標楷體"/>
        <family val="4"/>
        <charset val="136"/>
      </rPr>
      <t>週轉金驗收訖</t>
    </r>
    <r>
      <rPr>
        <sz val="14"/>
        <rFont val="Book Antiqua"/>
        <family val="1"/>
      </rPr>
      <t xml:space="preserve"> (</t>
    </r>
    <r>
      <rPr>
        <sz val="14"/>
        <rFont val="標楷體"/>
        <family val="4"/>
        <charset val="136"/>
      </rPr>
      <t>簽章：</t>
    </r>
    <r>
      <rPr>
        <sz val="14"/>
        <rFont val="Book Antiqua"/>
        <family val="1"/>
      </rPr>
      <t xml:space="preserve">                     )</t>
    </r>
    <phoneticPr fontId="5" type="noConversion"/>
  </si>
  <si>
    <r>
      <t xml:space="preserve">      </t>
    </r>
    <r>
      <rPr>
        <sz val="14"/>
        <rFont val="標楷體"/>
        <family val="4"/>
        <charset val="136"/>
      </rPr>
      <t>週轉金驗收訖</t>
    </r>
    <r>
      <rPr>
        <sz val="14"/>
        <rFont val="Book Antiqua"/>
        <family val="1"/>
      </rPr>
      <t xml:space="preserve"> (</t>
    </r>
    <r>
      <rPr>
        <sz val="14"/>
        <rFont val="標楷體"/>
        <family val="4"/>
        <charset val="136"/>
      </rPr>
      <t>簽章：</t>
    </r>
    <r>
      <rPr>
        <sz val="14"/>
        <rFont val="Book Antiqua"/>
        <family val="1"/>
      </rPr>
      <t xml:space="preserve">                     )</t>
    </r>
    <phoneticPr fontId="5" type="noConversion"/>
  </si>
  <si>
    <t>會計師/律師公費等</t>
    <phoneticPr fontId="5" type="noConversion"/>
  </si>
  <si>
    <r>
      <rPr>
        <sz val="16"/>
        <rFont val="標楷體"/>
        <family val="4"/>
        <charset val="136"/>
      </rPr>
      <t>會計師</t>
    </r>
    <r>
      <rPr>
        <sz val="16"/>
        <rFont val="Book Antiqua"/>
        <family val="1"/>
      </rPr>
      <t>/</t>
    </r>
    <r>
      <rPr>
        <sz val="16"/>
        <rFont val="標楷體"/>
        <family val="4"/>
        <charset val="136"/>
      </rPr>
      <t>律師公費</t>
    </r>
    <phoneticPr fontId="5" type="noConversion"/>
  </si>
  <si>
    <r>
      <t>110</t>
    </r>
    <r>
      <rPr>
        <sz val="14"/>
        <rFont val="標楷體"/>
        <family val="4"/>
        <charset val="136"/>
      </rPr>
      <t>年</t>
    </r>
    <r>
      <rPr>
        <sz val="14"/>
        <rFont val="Book Antiqua"/>
        <family val="1"/>
      </rPr>
      <t>8</t>
    </r>
    <r>
      <rPr>
        <sz val="14"/>
        <rFont val="標楷體"/>
        <family val="4"/>
        <charset val="136"/>
      </rPr>
      <t>月</t>
    </r>
    <r>
      <rPr>
        <sz val="14"/>
        <rFont val="Book Antiqua"/>
        <family val="1"/>
      </rPr>
      <t>26</t>
    </r>
    <r>
      <rPr>
        <sz val="14"/>
        <rFont val="標楷體"/>
        <family val="4"/>
        <charset val="136"/>
      </rPr>
      <t>日</t>
    </r>
    <phoneticPr fontId="5" type="noConversion"/>
  </si>
  <si>
    <t>會計師/律師事務所</t>
    <phoneticPr fontId="5" type="noConversion"/>
  </si>
  <si>
    <r>
      <rPr>
        <sz val="16"/>
        <rFont val="標楷體"/>
        <family val="4"/>
        <charset val="136"/>
      </rPr>
      <t>元</t>
    </r>
    <phoneticPr fontId="5" type="noConversion"/>
  </si>
  <si>
    <r>
      <rPr>
        <sz val="16"/>
        <rFont val="標楷體"/>
        <family val="4"/>
        <charset val="136"/>
      </rPr>
      <t>元</t>
    </r>
    <phoneticPr fontId="5" type="noConversion"/>
  </si>
  <si>
    <r>
      <rPr>
        <sz val="16"/>
        <rFont val="標楷體"/>
        <family val="4"/>
        <charset val="136"/>
      </rPr>
      <t>淨支付會計師</t>
    </r>
    <r>
      <rPr>
        <sz val="16"/>
        <rFont val="Book Antiqua"/>
        <family val="1"/>
      </rPr>
      <t>/</t>
    </r>
    <r>
      <rPr>
        <sz val="16"/>
        <rFont val="標楷體"/>
        <family val="4"/>
        <charset val="136"/>
      </rPr>
      <t>律師</t>
    </r>
    <phoneticPr fontId="5" type="noConversion"/>
  </si>
  <si>
    <t>代墊費用</t>
    <phoneticPr fontId="5" type="noConversion"/>
  </si>
  <si>
    <t>合計</t>
    <phoneticPr fontId="5" type="noConversion"/>
  </si>
  <si>
    <r>
      <rPr>
        <sz val="16"/>
        <rFont val="標楷體"/>
        <family val="4"/>
        <charset val="136"/>
      </rPr>
      <t>淨支付屋主</t>
    </r>
    <phoneticPr fontId="5" type="noConversion"/>
  </si>
  <si>
    <r>
      <rPr>
        <sz val="16"/>
        <rFont val="標楷體"/>
        <family val="4"/>
        <charset val="136"/>
      </rPr>
      <t>代扣繳稅額</t>
    </r>
    <r>
      <rPr>
        <sz val="16"/>
        <rFont val="Book Antiqua"/>
        <family val="1"/>
      </rPr>
      <t xml:space="preserve">10% </t>
    </r>
    <phoneticPr fontId="5" type="noConversion"/>
  </si>
  <si>
    <t>宿舍租金(屋主為自然人)</t>
    <phoneticPr fontId="5" type="noConversion"/>
  </si>
  <si>
    <t>辦公室租金(屋主為法人)</t>
    <phoneticPr fontId="5" type="noConversion"/>
  </si>
  <si>
    <r>
      <t>110/8</t>
    </r>
    <r>
      <rPr>
        <sz val="16"/>
        <rFont val="標楷體"/>
        <family val="4"/>
        <charset val="136"/>
      </rPr>
      <t>月辦公室租金</t>
    </r>
    <r>
      <rPr>
        <sz val="16"/>
        <rFont val="Book Antiqua"/>
        <family val="1"/>
      </rPr>
      <t xml:space="preserve">  </t>
    </r>
    <phoneticPr fontId="5" type="noConversion"/>
  </si>
  <si>
    <t>營業稅</t>
    <phoneticPr fontId="4" type="noConversion"/>
  </si>
  <si>
    <t>匯費</t>
    <phoneticPr fontId="5" type="noConversion"/>
  </si>
  <si>
    <t>匯費</t>
    <phoneticPr fontId="5" type="noConversion"/>
  </si>
  <si>
    <t>外加</t>
    <phoneticPr fontId="5" type="noConversion"/>
  </si>
  <si>
    <t>內含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</si>
</sst>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77" formatCode="_-* #,##0_-;\-* #,##0_-;_-* &quot;-&quot;??_-;_-@_-"/>
    <numFmt numFmtId="179" formatCode="#,##0_ "/>
  </numFmts>
  <fonts count="20">
    <font>
      <sz val="12"/>
      <name val="Times New Roman"/>
      <family val="1"/>
    </font>
    <font>
      <sz val="12"/>
      <name val="Times New Roman"/>
      <family val="1"/>
    </font>
    <font>
      <b/>
      <sz val="20"/>
      <name val="Book Antiqua"/>
      <family val="1"/>
    </font>
    <font>
      <b/>
      <sz val="20"/>
      <name val="標楷體"/>
      <family val="4"/>
      <charset val="136"/>
    </font>
    <font>
      <sz val="9"/>
      <name val="細明體"/>
      <family val="3"/>
      <charset val="136"/>
    </font>
    <font>
      <sz val="14"/>
      <name val="華康中楷體"/>
      <family val="3"/>
      <charset val="136"/>
    </font>
    <font>
      <sz val="12"/>
      <name val="Book Antiqua"/>
      <family val="1"/>
    </font>
    <font>
      <b/>
      <sz val="16"/>
      <name val="Book Antiqua"/>
      <family val="1"/>
    </font>
    <font>
      <b/>
      <sz val="16"/>
      <name val="標楷體"/>
      <family val="4"/>
      <charset val="136"/>
    </font>
    <font>
      <sz val="16"/>
      <name val="Book Antiqua"/>
      <family val="1"/>
    </font>
    <font>
      <sz val="14"/>
      <name val="Book Antiqua"/>
      <family val="1"/>
    </font>
    <font>
      <sz val="14"/>
      <name val="標楷體"/>
      <family val="4"/>
      <charset val="136"/>
    </font>
    <font>
      <b/>
      <sz val="16"/>
      <name val="Times New Roman"/>
      <family val="1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2"/>
      <name val="新細明體"/>
      <family val="1"/>
      <charset val="136"/>
    </font>
    <font>
      <sz val="12"/>
      <color indexed="81"/>
      <name val="細明體"/>
      <family val="3"/>
      <charset val="136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43" fontId="1" fillId="0" borderId="0" applyFont="0" applyFill="0" applyBorder="0" applyAlignment="0" applyProtection="0">
      <alignment vertical="center"/>
    </xf>
  </cellStyleXfs>
  <cellXfs count="12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/>
    <xf numFmtId="0" fontId="14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26" xfId="1" applyFont="1" applyBorder="1" applyAlignment="1">
      <alignment vertical="center"/>
    </xf>
    <xf numFmtId="0" fontId="10" fillId="0" borderId="26" xfId="1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6" xfId="0" applyFont="1" applyBorder="1" applyAlignment="1">
      <alignment vertical="center"/>
    </xf>
    <xf numFmtId="0" fontId="11" fillId="0" borderId="26" xfId="1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1" fillId="0" borderId="26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 wrapText="1"/>
    </xf>
    <xf numFmtId="0" fontId="10" fillId="2" borderId="24" xfId="1" applyFont="1" applyFill="1" applyBorder="1" applyAlignment="1">
      <alignment vertical="center" wrapText="1"/>
    </xf>
    <xf numFmtId="0" fontId="10" fillId="0" borderId="23" xfId="0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 wrapText="1"/>
    </xf>
    <xf numFmtId="177" fontId="9" fillId="0" borderId="0" xfId="2" applyNumberFormat="1" applyFont="1" applyBorder="1" applyAlignment="1">
      <alignment vertical="center"/>
    </xf>
    <xf numFmtId="177" fontId="9" fillId="0" borderId="0" xfId="0" applyNumberFormat="1" applyFont="1" applyBorder="1" applyAlignment="1">
      <alignment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5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179" fontId="10" fillId="0" borderId="22" xfId="0" applyNumberFormat="1" applyFont="1" applyBorder="1" applyAlignment="1">
      <alignment horizontal="right" vertical="center"/>
    </xf>
    <xf numFmtId="179" fontId="10" fillId="0" borderId="36" xfId="0" applyNumberFormat="1" applyFont="1" applyBorder="1" applyAlignment="1">
      <alignment horizontal="right" vertical="center"/>
    </xf>
    <xf numFmtId="179" fontId="10" fillId="0" borderId="23" xfId="0" applyNumberFormat="1" applyFont="1" applyBorder="1" applyAlignment="1">
      <alignment horizontal="right" vertical="center"/>
    </xf>
    <xf numFmtId="179" fontId="10" fillId="0" borderId="35" xfId="0" applyNumberFormat="1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177" fontId="14" fillId="0" borderId="0" xfId="2" applyNumberFormat="1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177" fontId="14" fillId="0" borderId="0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177" fontId="9" fillId="4" borderId="39" xfId="2" applyNumberFormat="1" applyFont="1" applyFill="1" applyBorder="1" applyAlignment="1">
      <alignment vertical="center"/>
    </xf>
    <xf numFmtId="177" fontId="10" fillId="0" borderId="22" xfId="2" applyNumberFormat="1" applyFont="1" applyBorder="1" applyAlignment="1">
      <alignment horizontal="right" vertical="center"/>
    </xf>
    <xf numFmtId="177" fontId="10" fillId="0" borderId="35" xfId="2" applyNumberFormat="1" applyFont="1" applyBorder="1" applyAlignment="1">
      <alignment horizontal="right" vertical="center"/>
    </xf>
    <xf numFmtId="177" fontId="10" fillId="0" borderId="36" xfId="2" applyNumberFormat="1" applyFont="1" applyBorder="1" applyAlignment="1">
      <alignment horizontal="right" vertical="center"/>
    </xf>
    <xf numFmtId="0" fontId="11" fillId="0" borderId="18" xfId="1" applyFont="1" applyBorder="1" applyAlignment="1">
      <alignment horizontal="left" vertical="center" wrapText="1"/>
    </xf>
    <xf numFmtId="0" fontId="11" fillId="0" borderId="40" xfId="1" applyFont="1" applyBorder="1" applyAlignment="1">
      <alignment horizontal="left" vertical="center" wrapText="1"/>
    </xf>
    <xf numFmtId="0" fontId="11" fillId="0" borderId="18" xfId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177" fontId="10" fillId="0" borderId="37" xfId="2" applyNumberFormat="1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177" fontId="10" fillId="0" borderId="23" xfId="2" applyNumberFormat="1" applyFont="1" applyBorder="1" applyAlignment="1">
      <alignment horizontal="right" vertical="center"/>
    </xf>
    <xf numFmtId="0" fontId="10" fillId="0" borderId="41" xfId="1" applyFont="1" applyBorder="1" applyAlignment="1">
      <alignment vertical="center" wrapText="1"/>
    </xf>
    <xf numFmtId="0" fontId="10" fillId="0" borderId="42" xfId="1" applyFont="1" applyBorder="1" applyAlignment="1">
      <alignment vertical="center" wrapText="1"/>
    </xf>
    <xf numFmtId="0" fontId="10" fillId="0" borderId="43" xfId="1" applyFont="1" applyBorder="1" applyAlignment="1">
      <alignment vertical="center" wrapText="1"/>
    </xf>
    <xf numFmtId="0" fontId="11" fillId="0" borderId="44" xfId="0" applyFont="1" applyBorder="1" applyAlignment="1">
      <alignment horizontal="center" vertical="center" wrapText="1"/>
    </xf>
  </cellXfs>
  <cellStyles count="3">
    <cellStyle name="一般" xfId="0" builtinId="0"/>
    <cellStyle name="一般_00000JAO_00001" xfId="1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文字 8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華康楷書體W3"/>
              <a:ea typeface="華康楷書體W3"/>
            </a:rPr>
            <a:t>年    月     日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文字 19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11</xdr:col>
      <xdr:colOff>457200</xdr:colOff>
      <xdr:row>4</xdr:row>
      <xdr:rowOff>71120</xdr:rowOff>
    </xdr:from>
    <xdr:to>
      <xdr:col>11</xdr:col>
      <xdr:colOff>636270</xdr:colOff>
      <xdr:row>4</xdr:row>
      <xdr:rowOff>261620</xdr:rowOff>
    </xdr:to>
    <xdr:sp macro="" textlink="">
      <xdr:nvSpPr>
        <xdr:cNvPr id="14" name="Rectangle 87"/>
        <xdr:cNvSpPr>
          <a:spLocks noChangeArrowheads="1"/>
        </xdr:cNvSpPr>
      </xdr:nvSpPr>
      <xdr:spPr bwMode="auto">
        <a:xfrm>
          <a:off x="8209280" y="1381760"/>
          <a:ext cx="17907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381000</xdr:colOff>
      <xdr:row>5</xdr:row>
      <xdr:rowOff>280670</xdr:rowOff>
    </xdr:from>
    <xdr:to>
      <xdr:col>11</xdr:col>
      <xdr:colOff>826770</xdr:colOff>
      <xdr:row>5</xdr:row>
      <xdr:rowOff>280670</xdr:rowOff>
    </xdr:to>
    <xdr:sp macro="" textlink="">
      <xdr:nvSpPr>
        <xdr:cNvPr id="15" name="Line 89"/>
        <xdr:cNvSpPr>
          <a:spLocks noChangeShapeType="1"/>
        </xdr:cNvSpPr>
      </xdr:nvSpPr>
      <xdr:spPr bwMode="auto">
        <a:xfrm>
          <a:off x="7386320" y="1906270"/>
          <a:ext cx="10198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187960</xdr:colOff>
      <xdr:row>6</xdr:row>
      <xdr:rowOff>110490</xdr:rowOff>
    </xdr:from>
    <xdr:to>
      <xdr:col>4</xdr:col>
      <xdr:colOff>370840</xdr:colOff>
      <xdr:row>6</xdr:row>
      <xdr:rowOff>300990</xdr:rowOff>
    </xdr:to>
    <xdr:sp macro="" textlink="">
      <xdr:nvSpPr>
        <xdr:cNvPr id="21" name="Rectangle 98"/>
        <xdr:cNvSpPr>
          <a:spLocks noChangeArrowheads="1"/>
        </xdr:cNvSpPr>
      </xdr:nvSpPr>
      <xdr:spPr bwMode="auto">
        <a:xfrm>
          <a:off x="2936240" y="205105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767080</xdr:colOff>
      <xdr:row>1</xdr:row>
      <xdr:rowOff>8890</xdr:rowOff>
    </xdr:from>
    <xdr:to>
      <xdr:col>10</xdr:col>
      <xdr:colOff>518160</xdr:colOff>
      <xdr:row>1</xdr:row>
      <xdr:rowOff>8890</xdr:rowOff>
    </xdr:to>
    <xdr:sp macro="" textlink="">
      <xdr:nvSpPr>
        <xdr:cNvPr id="23" name="Line 88"/>
        <xdr:cNvSpPr>
          <a:spLocks noChangeShapeType="1"/>
        </xdr:cNvSpPr>
      </xdr:nvSpPr>
      <xdr:spPr bwMode="auto">
        <a:xfrm flipV="1">
          <a:off x="3794760" y="364490"/>
          <a:ext cx="390652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</xdr:row>
      <xdr:rowOff>5080</xdr:rowOff>
    </xdr:from>
    <xdr:to>
      <xdr:col>9</xdr:col>
      <xdr:colOff>330200</xdr:colOff>
      <xdr:row>2</xdr:row>
      <xdr:rowOff>5080</xdr:rowOff>
    </xdr:to>
    <xdr:sp macro="" textlink="">
      <xdr:nvSpPr>
        <xdr:cNvPr id="24" name="Line 91"/>
        <xdr:cNvSpPr>
          <a:spLocks noChangeShapeType="1"/>
        </xdr:cNvSpPr>
      </xdr:nvSpPr>
      <xdr:spPr bwMode="auto">
        <a:xfrm flipV="1">
          <a:off x="4815840" y="716280"/>
          <a:ext cx="1864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111760</xdr:colOff>
      <xdr:row>6</xdr:row>
      <xdr:rowOff>120650</xdr:rowOff>
    </xdr:from>
    <xdr:to>
      <xdr:col>11</xdr:col>
      <xdr:colOff>283210</xdr:colOff>
      <xdr:row>6</xdr:row>
      <xdr:rowOff>311150</xdr:rowOff>
    </xdr:to>
    <xdr:sp macro="" textlink="">
      <xdr:nvSpPr>
        <xdr:cNvPr id="28" name="Rectangle 94"/>
        <xdr:cNvSpPr>
          <a:spLocks noChangeArrowheads="1"/>
        </xdr:cNvSpPr>
      </xdr:nvSpPr>
      <xdr:spPr bwMode="auto">
        <a:xfrm>
          <a:off x="7879080" y="2061210"/>
          <a:ext cx="17145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55880</xdr:colOff>
      <xdr:row>6</xdr:row>
      <xdr:rowOff>101600</xdr:rowOff>
    </xdr:from>
    <xdr:to>
      <xdr:col>2</xdr:col>
      <xdr:colOff>238760</xdr:colOff>
      <xdr:row>6</xdr:row>
      <xdr:rowOff>292100</xdr:rowOff>
    </xdr:to>
    <xdr:sp macro="" textlink="">
      <xdr:nvSpPr>
        <xdr:cNvPr id="30" name="Rectangle 98"/>
        <xdr:cNvSpPr>
          <a:spLocks noChangeArrowheads="1"/>
        </xdr:cNvSpPr>
      </xdr:nvSpPr>
      <xdr:spPr bwMode="auto">
        <a:xfrm>
          <a:off x="904240" y="204216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284480</xdr:colOff>
      <xdr:row>6</xdr:row>
      <xdr:rowOff>111760</xdr:rowOff>
    </xdr:from>
    <xdr:to>
      <xdr:col>6</xdr:col>
      <xdr:colOff>467360</xdr:colOff>
      <xdr:row>6</xdr:row>
      <xdr:rowOff>302260</xdr:rowOff>
    </xdr:to>
    <xdr:sp macro="" textlink="">
      <xdr:nvSpPr>
        <xdr:cNvPr id="25" name="Rectangle 98"/>
        <xdr:cNvSpPr>
          <a:spLocks noChangeArrowheads="1"/>
        </xdr:cNvSpPr>
      </xdr:nvSpPr>
      <xdr:spPr bwMode="auto">
        <a:xfrm>
          <a:off x="4231640" y="205232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360680</xdr:colOff>
      <xdr:row>4</xdr:row>
      <xdr:rowOff>76200</xdr:rowOff>
    </xdr:from>
    <xdr:to>
      <xdr:col>10</xdr:col>
      <xdr:colOff>543560</xdr:colOff>
      <xdr:row>4</xdr:row>
      <xdr:rowOff>266700</xdr:rowOff>
    </xdr:to>
    <xdr:sp macro="" textlink="">
      <xdr:nvSpPr>
        <xdr:cNvPr id="26" name="Rectangle 98"/>
        <xdr:cNvSpPr>
          <a:spLocks noChangeArrowheads="1"/>
        </xdr:cNvSpPr>
      </xdr:nvSpPr>
      <xdr:spPr bwMode="auto">
        <a:xfrm>
          <a:off x="7538720" y="138684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1051560</xdr:colOff>
      <xdr:row>6</xdr:row>
      <xdr:rowOff>115570</xdr:rowOff>
    </xdr:from>
    <xdr:to>
      <xdr:col>7</xdr:col>
      <xdr:colOff>1234440</xdr:colOff>
      <xdr:row>6</xdr:row>
      <xdr:rowOff>306070</xdr:rowOff>
    </xdr:to>
    <xdr:sp macro="" textlink="">
      <xdr:nvSpPr>
        <xdr:cNvPr id="31" name="Rectangle 98"/>
        <xdr:cNvSpPr>
          <a:spLocks noChangeArrowheads="1"/>
        </xdr:cNvSpPr>
      </xdr:nvSpPr>
      <xdr:spPr bwMode="auto">
        <a:xfrm>
          <a:off x="5478780" y="192532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文字 8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華康楷書體W3"/>
              <a:ea typeface="華康楷書體W3"/>
            </a:rPr>
            <a:t>年    月     日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文字 19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11</xdr:col>
      <xdr:colOff>609600</xdr:colOff>
      <xdr:row>4</xdr:row>
      <xdr:rowOff>76200</xdr:rowOff>
    </xdr:from>
    <xdr:to>
      <xdr:col>11</xdr:col>
      <xdr:colOff>788670</xdr:colOff>
      <xdr:row>4</xdr:row>
      <xdr:rowOff>266700</xdr:rowOff>
    </xdr:to>
    <xdr:sp macro="" textlink="">
      <xdr:nvSpPr>
        <xdr:cNvPr id="14" name="Rectangle 87"/>
        <xdr:cNvSpPr>
          <a:spLocks noChangeArrowheads="1"/>
        </xdr:cNvSpPr>
      </xdr:nvSpPr>
      <xdr:spPr bwMode="auto">
        <a:xfrm>
          <a:off x="8328660" y="1253490"/>
          <a:ext cx="17907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381000</xdr:colOff>
      <xdr:row>5</xdr:row>
      <xdr:rowOff>280670</xdr:rowOff>
    </xdr:from>
    <xdr:to>
      <xdr:col>11</xdr:col>
      <xdr:colOff>826770</xdr:colOff>
      <xdr:row>5</xdr:row>
      <xdr:rowOff>280670</xdr:rowOff>
    </xdr:to>
    <xdr:sp macro="" textlink="">
      <xdr:nvSpPr>
        <xdr:cNvPr id="15" name="Line 89"/>
        <xdr:cNvSpPr>
          <a:spLocks noChangeShapeType="1"/>
        </xdr:cNvSpPr>
      </xdr:nvSpPr>
      <xdr:spPr bwMode="auto">
        <a:xfrm>
          <a:off x="7448550" y="17741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187960</xdr:colOff>
      <xdr:row>6</xdr:row>
      <xdr:rowOff>110490</xdr:rowOff>
    </xdr:from>
    <xdr:to>
      <xdr:col>4</xdr:col>
      <xdr:colOff>370840</xdr:colOff>
      <xdr:row>6</xdr:row>
      <xdr:rowOff>300990</xdr:rowOff>
    </xdr:to>
    <xdr:sp macro="" textlink="">
      <xdr:nvSpPr>
        <xdr:cNvPr id="16" name="Rectangle 98"/>
        <xdr:cNvSpPr>
          <a:spLocks noChangeArrowheads="1"/>
        </xdr:cNvSpPr>
      </xdr:nvSpPr>
      <xdr:spPr bwMode="auto">
        <a:xfrm>
          <a:off x="2733040" y="192024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353060</xdr:colOff>
      <xdr:row>4</xdr:row>
      <xdr:rowOff>81280</xdr:rowOff>
    </xdr:from>
    <xdr:to>
      <xdr:col>10</xdr:col>
      <xdr:colOff>532130</xdr:colOff>
      <xdr:row>4</xdr:row>
      <xdr:rowOff>271780</xdr:rowOff>
    </xdr:to>
    <xdr:sp macro="" textlink="">
      <xdr:nvSpPr>
        <xdr:cNvPr id="17" name="Rectangle 99"/>
        <xdr:cNvSpPr>
          <a:spLocks noChangeArrowheads="1"/>
        </xdr:cNvSpPr>
      </xdr:nvSpPr>
      <xdr:spPr bwMode="auto">
        <a:xfrm>
          <a:off x="7420610" y="1258570"/>
          <a:ext cx="17907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787400</xdr:colOff>
      <xdr:row>1</xdr:row>
      <xdr:rowOff>22860</xdr:rowOff>
    </xdr:from>
    <xdr:to>
      <xdr:col>10</xdr:col>
      <xdr:colOff>624840</xdr:colOff>
      <xdr:row>1</xdr:row>
      <xdr:rowOff>22860</xdr:rowOff>
    </xdr:to>
    <xdr:sp macro="" textlink="">
      <xdr:nvSpPr>
        <xdr:cNvPr id="18" name="Line 88"/>
        <xdr:cNvSpPr>
          <a:spLocks noChangeShapeType="1"/>
        </xdr:cNvSpPr>
      </xdr:nvSpPr>
      <xdr:spPr bwMode="auto">
        <a:xfrm flipV="1">
          <a:off x="3816350" y="377190"/>
          <a:ext cx="387604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416560</xdr:colOff>
      <xdr:row>2</xdr:row>
      <xdr:rowOff>25400</xdr:rowOff>
    </xdr:from>
    <xdr:to>
      <xdr:col>9</xdr:col>
      <xdr:colOff>477520</xdr:colOff>
      <xdr:row>2</xdr:row>
      <xdr:rowOff>25400</xdr:rowOff>
    </xdr:to>
    <xdr:sp macro="" textlink="">
      <xdr:nvSpPr>
        <xdr:cNvPr id="19" name="Line 91"/>
        <xdr:cNvSpPr>
          <a:spLocks noChangeShapeType="1"/>
        </xdr:cNvSpPr>
      </xdr:nvSpPr>
      <xdr:spPr bwMode="auto">
        <a:xfrm flipV="1">
          <a:off x="4843780" y="734060"/>
          <a:ext cx="1813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111760</xdr:colOff>
      <xdr:row>6</xdr:row>
      <xdr:rowOff>120650</xdr:rowOff>
    </xdr:from>
    <xdr:to>
      <xdr:col>11</xdr:col>
      <xdr:colOff>283210</xdr:colOff>
      <xdr:row>6</xdr:row>
      <xdr:rowOff>311150</xdr:rowOff>
    </xdr:to>
    <xdr:sp macro="" textlink="">
      <xdr:nvSpPr>
        <xdr:cNvPr id="20" name="Rectangle 94"/>
        <xdr:cNvSpPr>
          <a:spLocks noChangeArrowheads="1"/>
        </xdr:cNvSpPr>
      </xdr:nvSpPr>
      <xdr:spPr bwMode="auto">
        <a:xfrm>
          <a:off x="7830820" y="1930400"/>
          <a:ext cx="17145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274320</xdr:colOff>
      <xdr:row>6</xdr:row>
      <xdr:rowOff>115570</xdr:rowOff>
    </xdr:from>
    <xdr:to>
      <xdr:col>6</xdr:col>
      <xdr:colOff>464820</xdr:colOff>
      <xdr:row>6</xdr:row>
      <xdr:rowOff>306070</xdr:rowOff>
    </xdr:to>
    <xdr:sp macro="" textlink="">
      <xdr:nvSpPr>
        <xdr:cNvPr id="21" name="Rectangle 97"/>
        <xdr:cNvSpPr>
          <a:spLocks noChangeArrowheads="1"/>
        </xdr:cNvSpPr>
      </xdr:nvSpPr>
      <xdr:spPr bwMode="auto">
        <a:xfrm>
          <a:off x="4156710" y="1925320"/>
          <a:ext cx="19050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55880</xdr:colOff>
      <xdr:row>6</xdr:row>
      <xdr:rowOff>101600</xdr:rowOff>
    </xdr:from>
    <xdr:to>
      <xdr:col>2</xdr:col>
      <xdr:colOff>238760</xdr:colOff>
      <xdr:row>6</xdr:row>
      <xdr:rowOff>292100</xdr:rowOff>
    </xdr:to>
    <xdr:sp macro="" textlink="">
      <xdr:nvSpPr>
        <xdr:cNvPr id="22" name="Rectangle 98"/>
        <xdr:cNvSpPr>
          <a:spLocks noChangeArrowheads="1"/>
        </xdr:cNvSpPr>
      </xdr:nvSpPr>
      <xdr:spPr bwMode="auto">
        <a:xfrm>
          <a:off x="901700" y="191135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1051560</xdr:colOff>
      <xdr:row>6</xdr:row>
      <xdr:rowOff>115570</xdr:rowOff>
    </xdr:from>
    <xdr:to>
      <xdr:col>7</xdr:col>
      <xdr:colOff>1234440</xdr:colOff>
      <xdr:row>6</xdr:row>
      <xdr:rowOff>306070</xdr:rowOff>
    </xdr:to>
    <xdr:sp macro="" textlink="">
      <xdr:nvSpPr>
        <xdr:cNvPr id="23" name="Rectangle 98"/>
        <xdr:cNvSpPr>
          <a:spLocks noChangeArrowheads="1"/>
        </xdr:cNvSpPr>
      </xdr:nvSpPr>
      <xdr:spPr bwMode="auto">
        <a:xfrm>
          <a:off x="5478780" y="192532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文字 8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華康楷書體W3"/>
              <a:ea typeface="華康楷書體W3"/>
            </a:rPr>
            <a:t>年    月     日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文字 19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11</xdr:col>
      <xdr:colOff>609600</xdr:colOff>
      <xdr:row>4</xdr:row>
      <xdr:rowOff>76200</xdr:rowOff>
    </xdr:from>
    <xdr:to>
      <xdr:col>11</xdr:col>
      <xdr:colOff>788670</xdr:colOff>
      <xdr:row>4</xdr:row>
      <xdr:rowOff>266700</xdr:rowOff>
    </xdr:to>
    <xdr:sp macro="" textlink="">
      <xdr:nvSpPr>
        <xdr:cNvPr id="14" name="Rectangle 87"/>
        <xdr:cNvSpPr>
          <a:spLocks noChangeArrowheads="1"/>
        </xdr:cNvSpPr>
      </xdr:nvSpPr>
      <xdr:spPr bwMode="auto">
        <a:xfrm>
          <a:off x="8351520" y="1383030"/>
          <a:ext cx="17907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381000</xdr:colOff>
      <xdr:row>5</xdr:row>
      <xdr:rowOff>280670</xdr:rowOff>
    </xdr:from>
    <xdr:to>
      <xdr:col>11</xdr:col>
      <xdr:colOff>826770</xdr:colOff>
      <xdr:row>5</xdr:row>
      <xdr:rowOff>280670</xdr:rowOff>
    </xdr:to>
    <xdr:sp macro="" textlink="">
      <xdr:nvSpPr>
        <xdr:cNvPr id="15" name="Line 89"/>
        <xdr:cNvSpPr>
          <a:spLocks noChangeShapeType="1"/>
        </xdr:cNvSpPr>
      </xdr:nvSpPr>
      <xdr:spPr bwMode="auto">
        <a:xfrm>
          <a:off x="7551420" y="1903730"/>
          <a:ext cx="101727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187960</xdr:colOff>
      <xdr:row>6</xdr:row>
      <xdr:rowOff>110490</xdr:rowOff>
    </xdr:from>
    <xdr:to>
      <xdr:col>4</xdr:col>
      <xdr:colOff>370840</xdr:colOff>
      <xdr:row>6</xdr:row>
      <xdr:rowOff>300990</xdr:rowOff>
    </xdr:to>
    <xdr:sp macro="" textlink="">
      <xdr:nvSpPr>
        <xdr:cNvPr id="16" name="Rectangle 98"/>
        <xdr:cNvSpPr>
          <a:spLocks noChangeArrowheads="1"/>
        </xdr:cNvSpPr>
      </xdr:nvSpPr>
      <xdr:spPr bwMode="auto">
        <a:xfrm>
          <a:off x="2729230" y="204978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353060</xdr:colOff>
      <xdr:row>4</xdr:row>
      <xdr:rowOff>81280</xdr:rowOff>
    </xdr:from>
    <xdr:to>
      <xdr:col>10</xdr:col>
      <xdr:colOff>532130</xdr:colOff>
      <xdr:row>4</xdr:row>
      <xdr:rowOff>271780</xdr:rowOff>
    </xdr:to>
    <xdr:sp macro="" textlink="">
      <xdr:nvSpPr>
        <xdr:cNvPr id="17" name="Rectangle 99"/>
        <xdr:cNvSpPr>
          <a:spLocks noChangeArrowheads="1"/>
        </xdr:cNvSpPr>
      </xdr:nvSpPr>
      <xdr:spPr bwMode="auto">
        <a:xfrm>
          <a:off x="7317740" y="1259840"/>
          <a:ext cx="17907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787400</xdr:colOff>
      <xdr:row>1</xdr:row>
      <xdr:rowOff>22860</xdr:rowOff>
    </xdr:from>
    <xdr:to>
      <xdr:col>10</xdr:col>
      <xdr:colOff>624840</xdr:colOff>
      <xdr:row>1</xdr:row>
      <xdr:rowOff>22860</xdr:rowOff>
    </xdr:to>
    <xdr:sp macro="" textlink="">
      <xdr:nvSpPr>
        <xdr:cNvPr id="18" name="Line 88"/>
        <xdr:cNvSpPr>
          <a:spLocks noChangeShapeType="1"/>
        </xdr:cNvSpPr>
      </xdr:nvSpPr>
      <xdr:spPr bwMode="auto">
        <a:xfrm flipV="1">
          <a:off x="3774440" y="378460"/>
          <a:ext cx="387604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416560</xdr:colOff>
      <xdr:row>2</xdr:row>
      <xdr:rowOff>25400</xdr:rowOff>
    </xdr:from>
    <xdr:to>
      <xdr:col>9</xdr:col>
      <xdr:colOff>477520</xdr:colOff>
      <xdr:row>2</xdr:row>
      <xdr:rowOff>25400</xdr:rowOff>
    </xdr:to>
    <xdr:sp macro="" textlink="">
      <xdr:nvSpPr>
        <xdr:cNvPr id="19" name="Line 91"/>
        <xdr:cNvSpPr>
          <a:spLocks noChangeShapeType="1"/>
        </xdr:cNvSpPr>
      </xdr:nvSpPr>
      <xdr:spPr bwMode="auto">
        <a:xfrm flipV="1">
          <a:off x="4800600" y="736600"/>
          <a:ext cx="1813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111760</xdr:colOff>
      <xdr:row>6</xdr:row>
      <xdr:rowOff>120650</xdr:rowOff>
    </xdr:from>
    <xdr:to>
      <xdr:col>11</xdr:col>
      <xdr:colOff>283210</xdr:colOff>
      <xdr:row>6</xdr:row>
      <xdr:rowOff>311150</xdr:rowOff>
    </xdr:to>
    <xdr:sp macro="" textlink="">
      <xdr:nvSpPr>
        <xdr:cNvPr id="20" name="Rectangle 94"/>
        <xdr:cNvSpPr>
          <a:spLocks noChangeArrowheads="1"/>
        </xdr:cNvSpPr>
      </xdr:nvSpPr>
      <xdr:spPr bwMode="auto">
        <a:xfrm>
          <a:off x="7853680" y="2059940"/>
          <a:ext cx="17145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274320</xdr:colOff>
      <xdr:row>6</xdr:row>
      <xdr:rowOff>115570</xdr:rowOff>
    </xdr:from>
    <xdr:to>
      <xdr:col>6</xdr:col>
      <xdr:colOff>464820</xdr:colOff>
      <xdr:row>6</xdr:row>
      <xdr:rowOff>306070</xdr:rowOff>
    </xdr:to>
    <xdr:sp macro="" textlink="">
      <xdr:nvSpPr>
        <xdr:cNvPr id="21" name="Rectangle 97"/>
        <xdr:cNvSpPr>
          <a:spLocks noChangeArrowheads="1"/>
        </xdr:cNvSpPr>
      </xdr:nvSpPr>
      <xdr:spPr bwMode="auto">
        <a:xfrm>
          <a:off x="4160520" y="1924050"/>
          <a:ext cx="19050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55880</xdr:colOff>
      <xdr:row>6</xdr:row>
      <xdr:rowOff>101600</xdr:rowOff>
    </xdr:from>
    <xdr:to>
      <xdr:col>2</xdr:col>
      <xdr:colOff>238760</xdr:colOff>
      <xdr:row>6</xdr:row>
      <xdr:rowOff>292100</xdr:rowOff>
    </xdr:to>
    <xdr:sp macro="" textlink="">
      <xdr:nvSpPr>
        <xdr:cNvPr id="22" name="Rectangle 98"/>
        <xdr:cNvSpPr>
          <a:spLocks noChangeArrowheads="1"/>
        </xdr:cNvSpPr>
      </xdr:nvSpPr>
      <xdr:spPr bwMode="auto">
        <a:xfrm>
          <a:off x="901700" y="204089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1051560</xdr:colOff>
      <xdr:row>6</xdr:row>
      <xdr:rowOff>115570</xdr:rowOff>
    </xdr:from>
    <xdr:to>
      <xdr:col>7</xdr:col>
      <xdr:colOff>1234440</xdr:colOff>
      <xdr:row>6</xdr:row>
      <xdr:rowOff>306070</xdr:rowOff>
    </xdr:to>
    <xdr:sp macro="" textlink="">
      <xdr:nvSpPr>
        <xdr:cNvPr id="23" name="Rectangle 98"/>
        <xdr:cNvSpPr>
          <a:spLocks noChangeArrowheads="1"/>
        </xdr:cNvSpPr>
      </xdr:nvSpPr>
      <xdr:spPr bwMode="auto">
        <a:xfrm>
          <a:off x="5476240" y="192405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文字 8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華康楷書體W3"/>
              <a:ea typeface="華康楷書體W3"/>
            </a:rPr>
            <a:t>年    月     日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文字 19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11</xdr:col>
      <xdr:colOff>609600</xdr:colOff>
      <xdr:row>4</xdr:row>
      <xdr:rowOff>76200</xdr:rowOff>
    </xdr:from>
    <xdr:to>
      <xdr:col>11</xdr:col>
      <xdr:colOff>788670</xdr:colOff>
      <xdr:row>4</xdr:row>
      <xdr:rowOff>266700</xdr:rowOff>
    </xdr:to>
    <xdr:sp macro="" textlink="">
      <xdr:nvSpPr>
        <xdr:cNvPr id="14" name="Rectangle 87"/>
        <xdr:cNvSpPr>
          <a:spLocks noChangeArrowheads="1"/>
        </xdr:cNvSpPr>
      </xdr:nvSpPr>
      <xdr:spPr bwMode="auto">
        <a:xfrm>
          <a:off x="8328660" y="1253490"/>
          <a:ext cx="17907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381000</xdr:colOff>
      <xdr:row>5</xdr:row>
      <xdr:rowOff>280670</xdr:rowOff>
    </xdr:from>
    <xdr:to>
      <xdr:col>11</xdr:col>
      <xdr:colOff>826770</xdr:colOff>
      <xdr:row>5</xdr:row>
      <xdr:rowOff>280670</xdr:rowOff>
    </xdr:to>
    <xdr:sp macro="" textlink="">
      <xdr:nvSpPr>
        <xdr:cNvPr id="15" name="Line 89"/>
        <xdr:cNvSpPr>
          <a:spLocks noChangeShapeType="1"/>
        </xdr:cNvSpPr>
      </xdr:nvSpPr>
      <xdr:spPr bwMode="auto">
        <a:xfrm>
          <a:off x="7448550" y="17741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187960</xdr:colOff>
      <xdr:row>6</xdr:row>
      <xdr:rowOff>110490</xdr:rowOff>
    </xdr:from>
    <xdr:to>
      <xdr:col>4</xdr:col>
      <xdr:colOff>370840</xdr:colOff>
      <xdr:row>6</xdr:row>
      <xdr:rowOff>300990</xdr:rowOff>
    </xdr:to>
    <xdr:sp macro="" textlink="">
      <xdr:nvSpPr>
        <xdr:cNvPr id="16" name="Rectangle 98"/>
        <xdr:cNvSpPr>
          <a:spLocks noChangeArrowheads="1"/>
        </xdr:cNvSpPr>
      </xdr:nvSpPr>
      <xdr:spPr bwMode="auto">
        <a:xfrm>
          <a:off x="2733040" y="192024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353060</xdr:colOff>
      <xdr:row>4</xdr:row>
      <xdr:rowOff>81280</xdr:rowOff>
    </xdr:from>
    <xdr:to>
      <xdr:col>10</xdr:col>
      <xdr:colOff>532130</xdr:colOff>
      <xdr:row>4</xdr:row>
      <xdr:rowOff>271780</xdr:rowOff>
    </xdr:to>
    <xdr:sp macro="" textlink="">
      <xdr:nvSpPr>
        <xdr:cNvPr id="17" name="Rectangle 99"/>
        <xdr:cNvSpPr>
          <a:spLocks noChangeArrowheads="1"/>
        </xdr:cNvSpPr>
      </xdr:nvSpPr>
      <xdr:spPr bwMode="auto">
        <a:xfrm>
          <a:off x="7420610" y="1258570"/>
          <a:ext cx="17907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787400</xdr:colOff>
      <xdr:row>1</xdr:row>
      <xdr:rowOff>22860</xdr:rowOff>
    </xdr:from>
    <xdr:to>
      <xdr:col>10</xdr:col>
      <xdr:colOff>624840</xdr:colOff>
      <xdr:row>1</xdr:row>
      <xdr:rowOff>22860</xdr:rowOff>
    </xdr:to>
    <xdr:sp macro="" textlink="">
      <xdr:nvSpPr>
        <xdr:cNvPr id="18" name="Line 88"/>
        <xdr:cNvSpPr>
          <a:spLocks noChangeShapeType="1"/>
        </xdr:cNvSpPr>
      </xdr:nvSpPr>
      <xdr:spPr bwMode="auto">
        <a:xfrm flipV="1">
          <a:off x="3816350" y="377190"/>
          <a:ext cx="387604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416560</xdr:colOff>
      <xdr:row>2</xdr:row>
      <xdr:rowOff>25400</xdr:rowOff>
    </xdr:from>
    <xdr:to>
      <xdr:col>9</xdr:col>
      <xdr:colOff>477520</xdr:colOff>
      <xdr:row>2</xdr:row>
      <xdr:rowOff>25400</xdr:rowOff>
    </xdr:to>
    <xdr:sp macro="" textlink="">
      <xdr:nvSpPr>
        <xdr:cNvPr id="19" name="Line 91"/>
        <xdr:cNvSpPr>
          <a:spLocks noChangeShapeType="1"/>
        </xdr:cNvSpPr>
      </xdr:nvSpPr>
      <xdr:spPr bwMode="auto">
        <a:xfrm flipV="1">
          <a:off x="4843780" y="734060"/>
          <a:ext cx="1813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111760</xdr:colOff>
      <xdr:row>6</xdr:row>
      <xdr:rowOff>120650</xdr:rowOff>
    </xdr:from>
    <xdr:to>
      <xdr:col>11</xdr:col>
      <xdr:colOff>283210</xdr:colOff>
      <xdr:row>6</xdr:row>
      <xdr:rowOff>311150</xdr:rowOff>
    </xdr:to>
    <xdr:sp macro="" textlink="">
      <xdr:nvSpPr>
        <xdr:cNvPr id="20" name="Rectangle 94"/>
        <xdr:cNvSpPr>
          <a:spLocks noChangeArrowheads="1"/>
        </xdr:cNvSpPr>
      </xdr:nvSpPr>
      <xdr:spPr bwMode="auto">
        <a:xfrm>
          <a:off x="7830820" y="1930400"/>
          <a:ext cx="17145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71120</xdr:colOff>
      <xdr:row>6</xdr:row>
      <xdr:rowOff>95250</xdr:rowOff>
    </xdr:from>
    <xdr:to>
      <xdr:col>2</xdr:col>
      <xdr:colOff>261620</xdr:colOff>
      <xdr:row>6</xdr:row>
      <xdr:rowOff>285750</xdr:rowOff>
    </xdr:to>
    <xdr:sp macro="" textlink="">
      <xdr:nvSpPr>
        <xdr:cNvPr id="21" name="Rectangle 97"/>
        <xdr:cNvSpPr>
          <a:spLocks noChangeArrowheads="1"/>
        </xdr:cNvSpPr>
      </xdr:nvSpPr>
      <xdr:spPr bwMode="auto">
        <a:xfrm>
          <a:off x="919480" y="1903730"/>
          <a:ext cx="19050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274320</xdr:colOff>
      <xdr:row>6</xdr:row>
      <xdr:rowOff>106680</xdr:rowOff>
    </xdr:from>
    <xdr:to>
      <xdr:col>6</xdr:col>
      <xdr:colOff>457200</xdr:colOff>
      <xdr:row>6</xdr:row>
      <xdr:rowOff>297180</xdr:rowOff>
    </xdr:to>
    <xdr:sp macro="" textlink="">
      <xdr:nvSpPr>
        <xdr:cNvPr id="22" name="Rectangle 98"/>
        <xdr:cNvSpPr>
          <a:spLocks noChangeArrowheads="1"/>
        </xdr:cNvSpPr>
      </xdr:nvSpPr>
      <xdr:spPr bwMode="auto">
        <a:xfrm>
          <a:off x="4160520" y="191516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1051560</xdr:colOff>
      <xdr:row>6</xdr:row>
      <xdr:rowOff>115570</xdr:rowOff>
    </xdr:from>
    <xdr:to>
      <xdr:col>7</xdr:col>
      <xdr:colOff>1234440</xdr:colOff>
      <xdr:row>6</xdr:row>
      <xdr:rowOff>306070</xdr:rowOff>
    </xdr:to>
    <xdr:sp macro="" textlink="">
      <xdr:nvSpPr>
        <xdr:cNvPr id="23" name="Rectangle 98"/>
        <xdr:cNvSpPr>
          <a:spLocks noChangeArrowheads="1"/>
        </xdr:cNvSpPr>
      </xdr:nvSpPr>
      <xdr:spPr bwMode="auto">
        <a:xfrm>
          <a:off x="5478780" y="192532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文字 8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華康楷書體W3"/>
              <a:ea typeface="華康楷書體W3"/>
            </a:rPr>
            <a:t>年    月     日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文字 19"/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>
    <xdr:from>
      <xdr:col>11</xdr:col>
      <xdr:colOff>609600</xdr:colOff>
      <xdr:row>4</xdr:row>
      <xdr:rowOff>76200</xdr:rowOff>
    </xdr:from>
    <xdr:to>
      <xdr:col>11</xdr:col>
      <xdr:colOff>788670</xdr:colOff>
      <xdr:row>4</xdr:row>
      <xdr:rowOff>266700</xdr:rowOff>
    </xdr:to>
    <xdr:sp macro="" textlink="">
      <xdr:nvSpPr>
        <xdr:cNvPr id="14" name="Rectangle 87"/>
        <xdr:cNvSpPr>
          <a:spLocks noChangeArrowheads="1"/>
        </xdr:cNvSpPr>
      </xdr:nvSpPr>
      <xdr:spPr bwMode="auto">
        <a:xfrm>
          <a:off x="8328660" y="1253490"/>
          <a:ext cx="17907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381000</xdr:colOff>
      <xdr:row>5</xdr:row>
      <xdr:rowOff>280670</xdr:rowOff>
    </xdr:from>
    <xdr:to>
      <xdr:col>11</xdr:col>
      <xdr:colOff>826770</xdr:colOff>
      <xdr:row>5</xdr:row>
      <xdr:rowOff>280670</xdr:rowOff>
    </xdr:to>
    <xdr:sp macro="" textlink="">
      <xdr:nvSpPr>
        <xdr:cNvPr id="15" name="Line 89"/>
        <xdr:cNvSpPr>
          <a:spLocks noChangeShapeType="1"/>
        </xdr:cNvSpPr>
      </xdr:nvSpPr>
      <xdr:spPr bwMode="auto">
        <a:xfrm>
          <a:off x="7448550" y="17741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187960</xdr:colOff>
      <xdr:row>6</xdr:row>
      <xdr:rowOff>110490</xdr:rowOff>
    </xdr:from>
    <xdr:to>
      <xdr:col>4</xdr:col>
      <xdr:colOff>370840</xdr:colOff>
      <xdr:row>6</xdr:row>
      <xdr:rowOff>300990</xdr:rowOff>
    </xdr:to>
    <xdr:sp macro="" textlink="">
      <xdr:nvSpPr>
        <xdr:cNvPr id="16" name="Rectangle 98"/>
        <xdr:cNvSpPr>
          <a:spLocks noChangeArrowheads="1"/>
        </xdr:cNvSpPr>
      </xdr:nvSpPr>
      <xdr:spPr bwMode="auto">
        <a:xfrm>
          <a:off x="2733040" y="192024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353060</xdr:colOff>
      <xdr:row>4</xdr:row>
      <xdr:rowOff>81280</xdr:rowOff>
    </xdr:from>
    <xdr:to>
      <xdr:col>10</xdr:col>
      <xdr:colOff>532130</xdr:colOff>
      <xdr:row>4</xdr:row>
      <xdr:rowOff>271780</xdr:rowOff>
    </xdr:to>
    <xdr:sp macro="" textlink="">
      <xdr:nvSpPr>
        <xdr:cNvPr id="17" name="Rectangle 99"/>
        <xdr:cNvSpPr>
          <a:spLocks noChangeArrowheads="1"/>
        </xdr:cNvSpPr>
      </xdr:nvSpPr>
      <xdr:spPr bwMode="auto">
        <a:xfrm>
          <a:off x="7420610" y="1258570"/>
          <a:ext cx="17907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787400</xdr:colOff>
      <xdr:row>1</xdr:row>
      <xdr:rowOff>22860</xdr:rowOff>
    </xdr:from>
    <xdr:to>
      <xdr:col>10</xdr:col>
      <xdr:colOff>624840</xdr:colOff>
      <xdr:row>1</xdr:row>
      <xdr:rowOff>22860</xdr:rowOff>
    </xdr:to>
    <xdr:sp macro="" textlink="">
      <xdr:nvSpPr>
        <xdr:cNvPr id="18" name="Line 88"/>
        <xdr:cNvSpPr>
          <a:spLocks noChangeShapeType="1"/>
        </xdr:cNvSpPr>
      </xdr:nvSpPr>
      <xdr:spPr bwMode="auto">
        <a:xfrm flipV="1">
          <a:off x="3816350" y="377190"/>
          <a:ext cx="387604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416560</xdr:colOff>
      <xdr:row>2</xdr:row>
      <xdr:rowOff>25400</xdr:rowOff>
    </xdr:from>
    <xdr:to>
      <xdr:col>9</xdr:col>
      <xdr:colOff>477520</xdr:colOff>
      <xdr:row>2</xdr:row>
      <xdr:rowOff>25400</xdr:rowOff>
    </xdr:to>
    <xdr:sp macro="" textlink="">
      <xdr:nvSpPr>
        <xdr:cNvPr id="19" name="Line 91"/>
        <xdr:cNvSpPr>
          <a:spLocks noChangeShapeType="1"/>
        </xdr:cNvSpPr>
      </xdr:nvSpPr>
      <xdr:spPr bwMode="auto">
        <a:xfrm flipV="1">
          <a:off x="4843780" y="734060"/>
          <a:ext cx="1813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111760</xdr:colOff>
      <xdr:row>6</xdr:row>
      <xdr:rowOff>120650</xdr:rowOff>
    </xdr:from>
    <xdr:to>
      <xdr:col>11</xdr:col>
      <xdr:colOff>283210</xdr:colOff>
      <xdr:row>6</xdr:row>
      <xdr:rowOff>311150</xdr:rowOff>
    </xdr:to>
    <xdr:sp macro="" textlink="">
      <xdr:nvSpPr>
        <xdr:cNvPr id="20" name="Rectangle 94"/>
        <xdr:cNvSpPr>
          <a:spLocks noChangeArrowheads="1"/>
        </xdr:cNvSpPr>
      </xdr:nvSpPr>
      <xdr:spPr bwMode="auto">
        <a:xfrm>
          <a:off x="7830820" y="1930400"/>
          <a:ext cx="17145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274320</xdr:colOff>
      <xdr:row>6</xdr:row>
      <xdr:rowOff>115570</xdr:rowOff>
    </xdr:from>
    <xdr:to>
      <xdr:col>6</xdr:col>
      <xdr:colOff>464820</xdr:colOff>
      <xdr:row>6</xdr:row>
      <xdr:rowOff>306070</xdr:rowOff>
    </xdr:to>
    <xdr:sp macro="" textlink="">
      <xdr:nvSpPr>
        <xdr:cNvPr id="21" name="Rectangle 97"/>
        <xdr:cNvSpPr>
          <a:spLocks noChangeArrowheads="1"/>
        </xdr:cNvSpPr>
      </xdr:nvSpPr>
      <xdr:spPr bwMode="auto">
        <a:xfrm>
          <a:off x="4156710" y="1925320"/>
          <a:ext cx="19050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1051560</xdr:colOff>
      <xdr:row>6</xdr:row>
      <xdr:rowOff>115570</xdr:rowOff>
    </xdr:from>
    <xdr:to>
      <xdr:col>7</xdr:col>
      <xdr:colOff>1234440</xdr:colOff>
      <xdr:row>6</xdr:row>
      <xdr:rowOff>306070</xdr:rowOff>
    </xdr:to>
    <xdr:sp macro="" textlink="">
      <xdr:nvSpPr>
        <xdr:cNvPr id="23" name="Rectangle 98"/>
        <xdr:cNvSpPr>
          <a:spLocks noChangeArrowheads="1"/>
        </xdr:cNvSpPr>
      </xdr:nvSpPr>
      <xdr:spPr bwMode="auto">
        <a:xfrm>
          <a:off x="5478780" y="1925320"/>
          <a:ext cx="1828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101600</xdr:colOff>
      <xdr:row>6</xdr:row>
      <xdr:rowOff>111760</xdr:rowOff>
    </xdr:from>
    <xdr:to>
      <xdr:col>2</xdr:col>
      <xdr:colOff>292100</xdr:colOff>
      <xdr:row>6</xdr:row>
      <xdr:rowOff>302260</xdr:rowOff>
    </xdr:to>
    <xdr:sp macro="" textlink="">
      <xdr:nvSpPr>
        <xdr:cNvPr id="24" name="Rectangle 97"/>
        <xdr:cNvSpPr>
          <a:spLocks noChangeArrowheads="1"/>
        </xdr:cNvSpPr>
      </xdr:nvSpPr>
      <xdr:spPr bwMode="auto">
        <a:xfrm>
          <a:off x="949960" y="1920240"/>
          <a:ext cx="190500" cy="1905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showGridLines="0" tabSelected="1" zoomScale="75" workbookViewId="0">
      <selection activeCell="F11" sqref="F11"/>
    </sheetView>
  </sheetViews>
  <sheetFormatPr defaultColWidth="9" defaultRowHeight="24.75" customHeight="1"/>
  <cols>
    <col min="1" max="1" width="5.09765625" style="1" customWidth="1"/>
    <col min="2" max="2" width="6" style="1" bestFit="1" customWidth="1"/>
    <col min="3" max="3" width="4.59765625" style="1" customWidth="1"/>
    <col min="4" max="4" width="17.6484375" style="1" bestFit="1" customWidth="1"/>
    <col min="5" max="5" width="6.34765625" style="1" customWidth="1"/>
    <col min="6" max="6" width="12.046875" style="1" customWidth="1"/>
    <col min="7" max="7" width="8.3984375" style="1" bestFit="1" customWidth="1"/>
    <col min="8" max="8" width="17.69921875" style="1" customWidth="1"/>
    <col min="9" max="9" width="5.3984375" style="1" customWidth="1"/>
    <col min="10" max="10" width="10.8984375" style="1" customWidth="1"/>
    <col min="11" max="11" width="9.6484375" style="1" customWidth="1"/>
    <col min="12" max="12" width="17.046875" style="1" customWidth="1"/>
    <col min="13" max="13" width="12.09765625" style="1" bestFit="1" customWidth="1"/>
    <col min="14" max="14" width="17.296875" style="1" customWidth="1"/>
    <col min="15" max="16384" width="9" style="1"/>
  </cols>
  <sheetData>
    <row r="1" spans="1:15" ht="27.9">
      <c r="A1" s="67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27.9">
      <c r="A2" s="68" t="s">
        <v>53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5" s="3" customFormat="1" ht="17.100000000000001" customHeight="1">
      <c r="A3" s="17"/>
      <c r="K3" s="4"/>
      <c r="L3" s="4"/>
      <c r="M3" s="4"/>
      <c r="N3" s="5"/>
      <c r="O3" s="1"/>
    </row>
    <row r="4" spans="1:15" s="6" customFormat="1" ht="20.7" thickBot="1">
      <c r="A4" s="31" t="s">
        <v>2</v>
      </c>
      <c r="B4" s="19"/>
      <c r="C4" s="19"/>
      <c r="D4" s="19"/>
      <c r="E4" s="19"/>
      <c r="F4" s="31" t="s">
        <v>1</v>
      </c>
      <c r="G4" s="19"/>
      <c r="H4" s="19"/>
      <c r="I4" s="9"/>
      <c r="J4" s="9" t="s">
        <v>45</v>
      </c>
      <c r="K4" s="32"/>
      <c r="L4" s="32"/>
      <c r="M4" s="4"/>
      <c r="N4" s="32" t="s">
        <v>52</v>
      </c>
      <c r="O4" s="1"/>
    </row>
    <row r="5" spans="1:15" ht="25.15" customHeight="1">
      <c r="A5" s="69" t="s">
        <v>46</v>
      </c>
      <c r="B5" s="70"/>
      <c r="C5" s="73"/>
      <c r="D5" s="73"/>
      <c r="E5" s="73"/>
      <c r="F5" s="73"/>
      <c r="G5" s="73"/>
      <c r="H5" s="73"/>
      <c r="I5" s="74"/>
      <c r="J5" s="77" t="s">
        <v>47</v>
      </c>
      <c r="K5" s="78"/>
      <c r="L5" s="79"/>
      <c r="M5" s="80" t="s">
        <v>9</v>
      </c>
      <c r="N5" s="82"/>
    </row>
    <row r="6" spans="1:15" ht="25.15" customHeight="1">
      <c r="A6" s="71"/>
      <c r="B6" s="72"/>
      <c r="C6" s="75"/>
      <c r="D6" s="75"/>
      <c r="E6" s="75"/>
      <c r="F6" s="75"/>
      <c r="G6" s="75"/>
      <c r="H6" s="75"/>
      <c r="I6" s="76"/>
      <c r="J6" s="84" t="s">
        <v>0</v>
      </c>
      <c r="K6" s="85"/>
      <c r="L6" s="86"/>
      <c r="M6" s="81"/>
      <c r="N6" s="83"/>
    </row>
    <row r="7" spans="1:15" ht="30" customHeight="1">
      <c r="A7" s="87" t="s">
        <v>48</v>
      </c>
      <c r="B7" s="88"/>
      <c r="C7" s="2"/>
      <c r="D7" s="8" t="s">
        <v>49</v>
      </c>
      <c r="E7" s="8"/>
      <c r="F7" s="18" t="s">
        <v>6</v>
      </c>
      <c r="G7" s="9"/>
      <c r="H7" s="18" t="s">
        <v>55</v>
      </c>
      <c r="I7" s="9" t="s">
        <v>56</v>
      </c>
      <c r="J7" s="9"/>
      <c r="K7" s="22"/>
      <c r="L7" s="48" t="s">
        <v>50</v>
      </c>
      <c r="M7" s="7"/>
      <c r="N7" s="11"/>
    </row>
    <row r="8" spans="1:15" ht="22.5">
      <c r="A8" s="89" t="s">
        <v>51</v>
      </c>
      <c r="B8" s="9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5" s="101" customFormat="1" ht="25" customHeight="1">
      <c r="A9" s="97"/>
      <c r="B9" s="17"/>
      <c r="C9" s="17"/>
      <c r="D9" s="17"/>
      <c r="E9" s="17"/>
      <c r="F9" s="17"/>
      <c r="G9" s="17"/>
      <c r="H9" s="17"/>
      <c r="I9" s="17"/>
      <c r="J9" s="98"/>
      <c r="K9" s="17"/>
      <c r="L9" s="17"/>
      <c r="M9" s="17"/>
      <c r="N9" s="99"/>
    </row>
    <row r="10" spans="1:15" s="101" customFormat="1" ht="25" customHeight="1">
      <c r="A10" s="97"/>
      <c r="B10" s="17"/>
      <c r="C10" s="17"/>
      <c r="D10" s="17"/>
      <c r="E10" s="17"/>
      <c r="F10" s="17"/>
      <c r="G10" s="17"/>
      <c r="H10" s="98"/>
      <c r="I10" s="17"/>
      <c r="J10" s="100"/>
      <c r="K10" s="17"/>
      <c r="L10" s="17"/>
      <c r="M10" s="17"/>
      <c r="N10" s="99"/>
    </row>
    <row r="11" spans="1:15" s="101" customFormat="1" ht="25" customHeight="1">
      <c r="A11" s="97"/>
      <c r="B11" s="17"/>
      <c r="C11" s="17"/>
      <c r="D11" s="17"/>
      <c r="E11" s="17"/>
      <c r="F11" s="17"/>
      <c r="G11" s="17"/>
      <c r="H11" s="17"/>
      <c r="I11" s="17"/>
      <c r="J11" s="100"/>
      <c r="K11" s="17"/>
      <c r="L11" s="17"/>
      <c r="M11" s="17"/>
      <c r="N11" s="99"/>
    </row>
    <row r="12" spans="1:15" s="101" customFormat="1" ht="25" customHeight="1">
      <c r="A12" s="9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99"/>
    </row>
    <row r="13" spans="1:15" s="101" customFormat="1" ht="25" customHeight="1">
      <c r="A13" s="9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99"/>
    </row>
    <row r="14" spans="1:15" s="101" customFormat="1" ht="25" customHeight="1">
      <c r="A14" s="9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99"/>
    </row>
    <row r="15" spans="1:15" s="101" customFormat="1" ht="25" customHeight="1">
      <c r="A15" s="97"/>
      <c r="B15" s="17"/>
      <c r="C15" s="17"/>
      <c r="D15" s="102"/>
      <c r="E15" s="17"/>
      <c r="F15" s="17"/>
      <c r="G15" s="17"/>
      <c r="H15" s="17"/>
      <c r="I15" s="17"/>
      <c r="J15" s="17"/>
      <c r="K15" s="17"/>
      <c r="L15" s="17"/>
      <c r="M15" s="17"/>
      <c r="N15" s="99"/>
    </row>
    <row r="16" spans="1:15" s="6" customFormat="1" ht="25" customHeight="1" thickBot="1">
      <c r="A16" s="12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3" t="s">
        <v>11</v>
      </c>
      <c r="N16" s="44" t="s">
        <v>42</v>
      </c>
    </row>
    <row r="17" spans="1:14" s="21" customFormat="1" ht="25" customHeight="1">
      <c r="A17" s="56" t="s">
        <v>8</v>
      </c>
      <c r="B17" s="57"/>
      <c r="C17" s="57"/>
      <c r="D17" s="57"/>
      <c r="E17" s="58"/>
      <c r="F17" s="40" t="s">
        <v>3</v>
      </c>
      <c r="G17" s="40" t="s">
        <v>5</v>
      </c>
      <c r="H17" s="41" t="s">
        <v>12</v>
      </c>
      <c r="I17" s="54" t="s">
        <v>26</v>
      </c>
      <c r="J17" s="55"/>
      <c r="K17" s="59" t="s">
        <v>31</v>
      </c>
      <c r="L17" s="58"/>
      <c r="M17" s="45" t="s">
        <v>32</v>
      </c>
      <c r="N17" s="120" t="s">
        <v>10</v>
      </c>
    </row>
    <row r="18" spans="1:14" s="15" customFormat="1" ht="25" customHeight="1">
      <c r="A18" s="33" t="s">
        <v>16</v>
      </c>
      <c r="B18" s="60"/>
      <c r="C18" s="60"/>
      <c r="D18" s="60"/>
      <c r="E18" s="61"/>
      <c r="F18" s="36"/>
      <c r="G18" s="35"/>
      <c r="H18" s="104"/>
      <c r="I18" s="91"/>
      <c r="J18" s="92"/>
      <c r="K18" s="50"/>
      <c r="L18" s="51"/>
      <c r="M18" s="116"/>
      <c r="N18" s="117"/>
    </row>
    <row r="19" spans="1:14" s="15" customFormat="1" ht="25" customHeight="1">
      <c r="A19" s="33" t="s">
        <v>17</v>
      </c>
      <c r="B19" s="60"/>
      <c r="C19" s="60"/>
      <c r="D19" s="60"/>
      <c r="E19" s="61"/>
      <c r="F19" s="36"/>
      <c r="G19" s="35"/>
      <c r="H19" s="104"/>
      <c r="I19" s="91"/>
      <c r="J19" s="92"/>
      <c r="K19" s="50"/>
      <c r="L19" s="51"/>
      <c r="M19" s="116"/>
      <c r="N19" s="118"/>
    </row>
    <row r="20" spans="1:14" s="15" customFormat="1" ht="25" customHeight="1">
      <c r="A20" s="33" t="s">
        <v>18</v>
      </c>
      <c r="B20" s="60"/>
      <c r="C20" s="60"/>
      <c r="D20" s="60"/>
      <c r="E20" s="61"/>
      <c r="F20" s="36"/>
      <c r="G20" s="35"/>
      <c r="H20" s="104"/>
      <c r="I20" s="91"/>
      <c r="J20" s="92"/>
      <c r="K20" s="50"/>
      <c r="L20" s="51"/>
      <c r="M20" s="116"/>
      <c r="N20" s="118"/>
    </row>
    <row r="21" spans="1:14" s="15" customFormat="1" ht="25" customHeight="1" thickBot="1">
      <c r="A21" s="64" t="s">
        <v>37</v>
      </c>
      <c r="B21" s="65"/>
      <c r="C21" s="65"/>
      <c r="D21" s="65"/>
      <c r="E21" s="66"/>
      <c r="F21" s="34"/>
      <c r="G21" s="42"/>
      <c r="H21" s="105">
        <f>SUM(H18:H20)</f>
        <v>0</v>
      </c>
      <c r="I21" s="62"/>
      <c r="J21" s="63"/>
      <c r="K21" s="52"/>
      <c r="L21" s="53"/>
      <c r="M21" s="105">
        <f>SUM(M18:M20)</f>
        <v>0</v>
      </c>
      <c r="N21" s="119"/>
    </row>
    <row r="22" spans="1:14" s="15" customFormat="1" ht="68.400000000000006" customHeight="1" thickBot="1">
      <c r="A22" s="46" t="s">
        <v>4</v>
      </c>
      <c r="B22" s="24" t="s">
        <v>28</v>
      </c>
      <c r="C22" s="24"/>
      <c r="D22" s="24"/>
      <c r="E22" s="25"/>
      <c r="F22" s="25"/>
      <c r="G22" s="30" t="s">
        <v>14</v>
      </c>
      <c r="H22" s="26"/>
      <c r="I22" s="23" t="s">
        <v>27</v>
      </c>
      <c r="J22" s="28" t="s">
        <v>13</v>
      </c>
      <c r="K22" s="27"/>
      <c r="L22" s="27"/>
      <c r="M22" s="39" t="s">
        <v>15</v>
      </c>
      <c r="N22" s="29"/>
    </row>
    <row r="23" spans="1:14" ht="24.75" customHeight="1">
      <c r="A23" s="16" t="s">
        <v>29</v>
      </c>
    </row>
  </sheetData>
  <mergeCells count="25">
    <mergeCell ref="A7:B7"/>
    <mergeCell ref="A8:B8"/>
    <mergeCell ref="I18:J18"/>
    <mergeCell ref="I19:J19"/>
    <mergeCell ref="I20:J20"/>
    <mergeCell ref="B19:E19"/>
    <mergeCell ref="B20:E20"/>
    <mergeCell ref="A1:N1"/>
    <mergeCell ref="A2:N2"/>
    <mergeCell ref="A5:B6"/>
    <mergeCell ref="C5:I6"/>
    <mergeCell ref="J5:L5"/>
    <mergeCell ref="M5:M6"/>
    <mergeCell ref="N5:N6"/>
    <mergeCell ref="J6:L6"/>
    <mergeCell ref="K19:L19"/>
    <mergeCell ref="K20:L20"/>
    <mergeCell ref="K21:L21"/>
    <mergeCell ref="I17:J17"/>
    <mergeCell ref="A17:E17"/>
    <mergeCell ref="K17:L17"/>
    <mergeCell ref="B18:E18"/>
    <mergeCell ref="K18:L18"/>
    <mergeCell ref="I21:J21"/>
    <mergeCell ref="A21:E21"/>
  </mergeCells>
  <phoneticPr fontId="5" type="noConversion"/>
  <printOptions horizontalCentered="1" gridLinesSet="0"/>
  <pageMargins left="0.19685039370078741" right="0.19685039370078741" top="0.39370078740157483" bottom="0.19685039370078741" header="0.19685039370078741" footer="0.19685039370078741"/>
  <pageSetup paperSize="9" scale="87" orientation="landscape" cellComments="asDisplayed" horizontalDpi="4294967292" r:id="rId1"/>
  <headerFooter alignWithMargins="0"/>
  <ignoredErrors>
    <ignoredError sqref="A18:A2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showGridLines="0" zoomScale="75" workbookViewId="0">
      <selection activeCell="M16" sqref="M16:N16"/>
    </sheetView>
  </sheetViews>
  <sheetFormatPr defaultColWidth="9" defaultRowHeight="24.75" customHeight="1"/>
  <cols>
    <col min="1" max="1" width="5.09765625" style="1" customWidth="1"/>
    <col min="2" max="2" width="6" style="1" bestFit="1" customWidth="1"/>
    <col min="3" max="3" width="4.59765625" style="1" customWidth="1"/>
    <col min="4" max="4" width="17.69921875" style="1" customWidth="1"/>
    <col min="5" max="5" width="6.34765625" style="1" customWidth="1"/>
    <col min="6" max="6" width="11.19921875" style="1" customWidth="1"/>
    <col min="7" max="7" width="7.1484375" style="1" customWidth="1"/>
    <col min="8" max="8" width="17.59765625" style="1" customWidth="1"/>
    <col min="9" max="9" width="5.3984375" style="1" customWidth="1"/>
    <col min="10" max="10" width="11.6484375" style="1" customWidth="1"/>
    <col min="11" max="11" width="8.546875" style="1" customWidth="1"/>
    <col min="12" max="12" width="19.19921875" style="1" customWidth="1"/>
    <col min="13" max="13" width="12.09765625" style="1" bestFit="1" customWidth="1"/>
    <col min="14" max="14" width="17.296875" style="1" customWidth="1"/>
    <col min="15" max="16384" width="9" style="1"/>
  </cols>
  <sheetData>
    <row r="1" spans="1:15" ht="27.9">
      <c r="A1" s="67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27.9">
      <c r="A2" s="68" t="s">
        <v>53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5" s="3" customFormat="1" ht="12" customHeight="1">
      <c r="A3" s="17"/>
      <c r="K3" s="4"/>
      <c r="L3" s="4"/>
      <c r="M3" s="4"/>
      <c r="N3" s="5"/>
      <c r="O3" s="1"/>
    </row>
    <row r="4" spans="1:15" s="6" customFormat="1" ht="25.15" customHeight="1" thickBot="1">
      <c r="A4" s="31" t="s">
        <v>2</v>
      </c>
      <c r="B4" s="19"/>
      <c r="C4" s="19"/>
      <c r="D4" s="19"/>
      <c r="E4" s="19"/>
      <c r="F4" s="31" t="s">
        <v>1</v>
      </c>
      <c r="G4" s="19"/>
      <c r="H4" s="19"/>
      <c r="I4" s="9"/>
      <c r="J4" s="9" t="s">
        <v>21</v>
      </c>
      <c r="K4" s="32"/>
      <c r="L4" s="32"/>
      <c r="M4" s="4"/>
      <c r="N4" s="32" t="s">
        <v>52</v>
      </c>
      <c r="O4" s="1"/>
    </row>
    <row r="5" spans="1:15" ht="25.15" customHeight="1">
      <c r="A5" s="69" t="s">
        <v>22</v>
      </c>
      <c r="B5" s="70"/>
      <c r="C5" s="73" t="s">
        <v>57</v>
      </c>
      <c r="D5" s="73"/>
      <c r="E5" s="73"/>
      <c r="F5" s="73"/>
      <c r="G5" s="73"/>
      <c r="H5" s="73"/>
      <c r="I5" s="74"/>
      <c r="J5" s="77" t="s">
        <v>43</v>
      </c>
      <c r="K5" s="78"/>
      <c r="L5" s="79"/>
      <c r="M5" s="80" t="s">
        <v>9</v>
      </c>
      <c r="N5" s="82"/>
    </row>
    <row r="6" spans="1:15" ht="25.15" customHeight="1">
      <c r="A6" s="71"/>
      <c r="B6" s="72"/>
      <c r="C6" s="75"/>
      <c r="D6" s="75"/>
      <c r="E6" s="75"/>
      <c r="F6" s="75"/>
      <c r="G6" s="75"/>
      <c r="H6" s="75"/>
      <c r="I6" s="76"/>
      <c r="J6" s="84" t="s">
        <v>0</v>
      </c>
      <c r="K6" s="85"/>
      <c r="L6" s="86"/>
      <c r="M6" s="81"/>
      <c r="N6" s="83"/>
    </row>
    <row r="7" spans="1:15" ht="30" customHeight="1">
      <c r="A7" s="87" t="s">
        <v>23</v>
      </c>
      <c r="B7" s="88"/>
      <c r="C7" s="2"/>
      <c r="D7" s="8" t="s">
        <v>44</v>
      </c>
      <c r="E7" s="8"/>
      <c r="F7" s="18" t="s">
        <v>6</v>
      </c>
      <c r="G7" s="9"/>
      <c r="H7" s="18" t="s">
        <v>55</v>
      </c>
      <c r="I7" s="9" t="s">
        <v>54</v>
      </c>
      <c r="J7" s="9"/>
      <c r="K7" s="22"/>
      <c r="L7" s="48" t="s">
        <v>65</v>
      </c>
      <c r="M7" s="7"/>
      <c r="N7" s="11"/>
    </row>
    <row r="8" spans="1:15" ht="22.5">
      <c r="A8" s="89" t="s">
        <v>24</v>
      </c>
      <c r="B8" s="9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5" ht="25" customHeight="1">
      <c r="A9" s="12"/>
      <c r="B9" s="9"/>
      <c r="L9" s="3"/>
      <c r="M9" s="3"/>
      <c r="N9" s="13"/>
    </row>
    <row r="10" spans="1:15" ht="25" customHeight="1">
      <c r="A10" s="12"/>
      <c r="B10" s="9"/>
      <c r="C10" s="3"/>
      <c r="D10" s="3"/>
      <c r="E10" s="3"/>
      <c r="F10" s="3"/>
      <c r="G10" s="3"/>
      <c r="H10" s="14"/>
      <c r="I10" s="3"/>
      <c r="J10" s="37"/>
      <c r="K10" s="3"/>
      <c r="L10" s="3"/>
      <c r="M10" s="3"/>
      <c r="N10" s="13"/>
    </row>
    <row r="11" spans="1:15" ht="25" customHeight="1">
      <c r="A11" s="12"/>
      <c r="B11" s="9"/>
      <c r="C11" s="3"/>
      <c r="D11" s="3"/>
      <c r="E11" s="3"/>
      <c r="F11" s="3"/>
      <c r="G11" s="3"/>
      <c r="H11" s="14"/>
      <c r="I11" s="3"/>
      <c r="J11" s="37"/>
      <c r="K11" s="3"/>
      <c r="L11" s="3"/>
      <c r="M11" s="3"/>
      <c r="N11" s="13"/>
    </row>
    <row r="12" spans="1:15" ht="25" customHeight="1">
      <c r="A12" s="12"/>
      <c r="B12" s="9"/>
      <c r="C12" s="3"/>
      <c r="D12" s="3"/>
      <c r="E12" s="3"/>
      <c r="F12" s="3"/>
      <c r="G12" s="3"/>
      <c r="H12" s="37"/>
      <c r="I12" s="3"/>
      <c r="J12" s="38"/>
      <c r="K12" s="3"/>
      <c r="L12" s="3"/>
      <c r="M12" s="3"/>
      <c r="N12" s="13"/>
    </row>
    <row r="13" spans="1:15" ht="25" customHeight="1">
      <c r="A13" s="12"/>
      <c r="B13" s="9"/>
      <c r="C13" s="3"/>
      <c r="D13" s="3"/>
      <c r="E13" s="3"/>
      <c r="F13" s="3"/>
      <c r="G13" s="3"/>
      <c r="H13" s="3"/>
      <c r="I13" s="3"/>
      <c r="J13" s="38"/>
      <c r="K13" s="3"/>
      <c r="L13" s="3"/>
      <c r="M13" s="3"/>
      <c r="N13" s="13"/>
    </row>
    <row r="14" spans="1:15" ht="25" customHeight="1">
      <c r="A14" s="12"/>
      <c r="B14" s="3"/>
      <c r="C14" s="3"/>
      <c r="D14" s="14"/>
      <c r="E14" s="14"/>
      <c r="F14" s="3"/>
      <c r="G14" s="3"/>
      <c r="H14" s="3"/>
      <c r="I14" s="3"/>
      <c r="J14" s="3"/>
      <c r="K14" s="3"/>
      <c r="L14" s="3"/>
      <c r="M14" s="3"/>
      <c r="N14" s="13"/>
    </row>
    <row r="15" spans="1:15" ht="25" customHeight="1">
      <c r="A15" s="12"/>
      <c r="B15" s="3"/>
      <c r="C15" s="3"/>
      <c r="D15" s="20"/>
      <c r="E15" s="14"/>
      <c r="F15" s="3"/>
      <c r="G15" s="9"/>
      <c r="H15" s="9"/>
      <c r="I15" s="14"/>
      <c r="J15" s="3"/>
      <c r="K15" s="3"/>
      <c r="L15" s="3"/>
      <c r="M15" s="3"/>
      <c r="N15" s="13"/>
    </row>
    <row r="16" spans="1:15" ht="25" customHeight="1" thickBot="1">
      <c r="A16" s="12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43" t="s">
        <v>81</v>
      </c>
      <c r="N16" s="44"/>
    </row>
    <row r="17" spans="1:14" s="21" customFormat="1" ht="25" customHeight="1">
      <c r="A17" s="56" t="s">
        <v>8</v>
      </c>
      <c r="B17" s="57"/>
      <c r="C17" s="57"/>
      <c r="D17" s="57"/>
      <c r="E17" s="58"/>
      <c r="F17" s="47" t="s">
        <v>3</v>
      </c>
      <c r="G17" s="47" t="s">
        <v>5</v>
      </c>
      <c r="H17" s="41" t="s">
        <v>12</v>
      </c>
      <c r="I17" s="54" t="s">
        <v>26</v>
      </c>
      <c r="J17" s="55"/>
      <c r="K17" s="59" t="s">
        <v>31</v>
      </c>
      <c r="L17" s="58"/>
      <c r="M17" s="45" t="s">
        <v>32</v>
      </c>
      <c r="N17" s="120" t="s">
        <v>10</v>
      </c>
    </row>
    <row r="18" spans="1:14" s="15" customFormat="1" ht="25" customHeight="1">
      <c r="A18" s="33" t="s">
        <v>16</v>
      </c>
      <c r="B18" s="60"/>
      <c r="C18" s="60"/>
      <c r="D18" s="60"/>
      <c r="E18" s="61"/>
      <c r="F18" s="36"/>
      <c r="G18" s="35"/>
      <c r="H18" s="93"/>
      <c r="I18" s="91"/>
      <c r="J18" s="92"/>
      <c r="K18" s="50"/>
      <c r="L18" s="51"/>
      <c r="M18" s="95"/>
      <c r="N18" s="117"/>
    </row>
    <row r="19" spans="1:14" s="15" customFormat="1" ht="25" customHeight="1">
      <c r="A19" s="33" t="s">
        <v>17</v>
      </c>
      <c r="B19" s="60"/>
      <c r="C19" s="60"/>
      <c r="D19" s="60"/>
      <c r="E19" s="61"/>
      <c r="F19" s="36"/>
      <c r="G19" s="35"/>
      <c r="H19" s="93"/>
      <c r="I19" s="91"/>
      <c r="J19" s="92"/>
      <c r="K19" s="50"/>
      <c r="L19" s="51"/>
      <c r="M19" s="95"/>
      <c r="N19" s="118"/>
    </row>
    <row r="20" spans="1:14" s="15" customFormat="1" ht="25" customHeight="1">
      <c r="A20" s="33" t="s">
        <v>18</v>
      </c>
      <c r="B20" s="60"/>
      <c r="C20" s="60"/>
      <c r="D20" s="60"/>
      <c r="E20" s="61"/>
      <c r="F20" s="36"/>
      <c r="G20" s="35"/>
      <c r="H20" s="93"/>
      <c r="I20" s="91"/>
      <c r="J20" s="92"/>
      <c r="K20" s="50"/>
      <c r="L20" s="51"/>
      <c r="M20" s="95"/>
      <c r="N20" s="118"/>
    </row>
    <row r="21" spans="1:14" s="15" customFormat="1" ht="25" customHeight="1" thickBot="1">
      <c r="A21" s="64" t="s">
        <v>37</v>
      </c>
      <c r="B21" s="65"/>
      <c r="C21" s="65"/>
      <c r="D21" s="65"/>
      <c r="E21" s="66"/>
      <c r="F21" s="34"/>
      <c r="G21" s="42"/>
      <c r="H21" s="94"/>
      <c r="I21" s="62"/>
      <c r="J21" s="63"/>
      <c r="K21" s="52"/>
      <c r="L21" s="53"/>
      <c r="M21" s="96"/>
      <c r="N21" s="119"/>
    </row>
    <row r="22" spans="1:14" s="15" customFormat="1" ht="68.400000000000006" customHeight="1" thickBot="1">
      <c r="A22" s="46" t="s">
        <v>4</v>
      </c>
      <c r="B22" s="24" t="s">
        <v>28</v>
      </c>
      <c r="C22" s="24"/>
      <c r="D22" s="24"/>
      <c r="E22" s="25"/>
      <c r="F22" s="25"/>
      <c r="G22" s="49" t="s">
        <v>14</v>
      </c>
      <c r="H22" s="26"/>
      <c r="I22" s="23" t="s">
        <v>27</v>
      </c>
      <c r="J22" s="28" t="s">
        <v>13</v>
      </c>
      <c r="K22" s="27"/>
      <c r="L22" s="27"/>
      <c r="M22" s="39" t="s">
        <v>15</v>
      </c>
      <c r="N22" s="29"/>
    </row>
    <row r="23" spans="1:14" ht="24.75" customHeight="1">
      <c r="A23" s="16" t="s">
        <v>29</v>
      </c>
    </row>
  </sheetData>
  <mergeCells count="25">
    <mergeCell ref="A21:E21"/>
    <mergeCell ref="I21:J21"/>
    <mergeCell ref="K21:L21"/>
    <mergeCell ref="B19:E19"/>
    <mergeCell ref="I19:J19"/>
    <mergeCell ref="K19:L19"/>
    <mergeCell ref="B20:E20"/>
    <mergeCell ref="I20:J20"/>
    <mergeCell ref="K20:L20"/>
    <mergeCell ref="A7:B7"/>
    <mergeCell ref="A8:B8"/>
    <mergeCell ref="A17:E17"/>
    <mergeCell ref="I17:J17"/>
    <mergeCell ref="K17:L17"/>
    <mergeCell ref="B18:E18"/>
    <mergeCell ref="I18:J18"/>
    <mergeCell ref="K18:L18"/>
    <mergeCell ref="A1:N1"/>
    <mergeCell ref="A2:N2"/>
    <mergeCell ref="A5:B6"/>
    <mergeCell ref="C5:I6"/>
    <mergeCell ref="J5:L5"/>
    <mergeCell ref="M5:M6"/>
    <mergeCell ref="N5:N6"/>
    <mergeCell ref="J6:L6"/>
  </mergeCells>
  <phoneticPr fontId="5" type="noConversion"/>
  <printOptions horizontalCentered="1" verticalCentered="1" gridLinesSet="0"/>
  <pageMargins left="0.19685039370078741" right="0.19685039370078741" top="0.39370078740157483" bottom="0.19685039370078741" header="0.19685039370078741" footer="0.19685039370078741"/>
  <pageSetup paperSize="9" scale="87" orientation="landscape" cellComments="asDisplayed" horizontalDpi="4294967292" r:id="rId1"/>
  <headerFooter alignWithMargins="0"/>
  <ignoredErrors>
    <ignoredError sqref="A18:A20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showGridLines="0" zoomScale="75" workbookViewId="0">
      <selection activeCell="M16" sqref="M16:N16"/>
    </sheetView>
  </sheetViews>
  <sheetFormatPr defaultColWidth="9" defaultRowHeight="24.75" customHeight="1"/>
  <cols>
    <col min="1" max="1" width="5.09765625" style="1" customWidth="1"/>
    <col min="2" max="2" width="6" style="1" bestFit="1" customWidth="1"/>
    <col min="3" max="3" width="4.59765625" style="1" customWidth="1"/>
    <col min="4" max="4" width="17.69921875" style="1" customWidth="1"/>
    <col min="5" max="5" width="6.34765625" style="1" customWidth="1"/>
    <col min="6" max="6" width="11.19921875" style="1" customWidth="1"/>
    <col min="7" max="7" width="7.1484375" style="1" customWidth="1"/>
    <col min="8" max="8" width="17.59765625" style="1" customWidth="1"/>
    <col min="9" max="9" width="5.3984375" style="1" customWidth="1"/>
    <col min="10" max="10" width="11.6484375" style="1" customWidth="1"/>
    <col min="11" max="11" width="8.546875" style="1" customWidth="1"/>
    <col min="12" max="12" width="19.19921875" style="1" customWidth="1"/>
    <col min="13" max="13" width="12.09765625" style="1" bestFit="1" customWidth="1"/>
    <col min="14" max="14" width="17.296875" style="1" customWidth="1"/>
    <col min="15" max="16384" width="9" style="1"/>
  </cols>
  <sheetData>
    <row r="1" spans="1:15" ht="27.9">
      <c r="A1" s="67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27.9">
      <c r="A2" s="68" t="s">
        <v>53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5" s="3" customFormat="1" ht="12" customHeight="1">
      <c r="A3" s="17"/>
      <c r="K3" s="4"/>
      <c r="L3" s="4"/>
      <c r="M3" s="4"/>
      <c r="N3" s="5"/>
      <c r="O3" s="1"/>
    </row>
    <row r="4" spans="1:15" s="6" customFormat="1" ht="25.15" customHeight="1" thickBot="1">
      <c r="A4" s="31" t="s">
        <v>2</v>
      </c>
      <c r="B4" s="19"/>
      <c r="C4" s="19"/>
      <c r="D4" s="19"/>
      <c r="E4" s="19"/>
      <c r="F4" s="31" t="s">
        <v>1</v>
      </c>
      <c r="G4" s="19"/>
      <c r="H4" s="19"/>
      <c r="I4" s="9"/>
      <c r="J4" s="9" t="s">
        <v>58</v>
      </c>
      <c r="K4" s="32"/>
      <c r="L4" s="32"/>
      <c r="M4" s="4"/>
      <c r="N4" s="32" t="s">
        <v>68</v>
      </c>
      <c r="O4" s="1"/>
    </row>
    <row r="5" spans="1:15" ht="25.15" customHeight="1">
      <c r="A5" s="69" t="s">
        <v>59</v>
      </c>
      <c r="B5" s="70"/>
      <c r="C5" s="73" t="s">
        <v>77</v>
      </c>
      <c r="D5" s="73"/>
      <c r="E5" s="73"/>
      <c r="F5" s="73"/>
      <c r="G5" s="73"/>
      <c r="H5" s="73"/>
      <c r="I5" s="74"/>
      <c r="J5" s="77" t="s">
        <v>60</v>
      </c>
      <c r="K5" s="78"/>
      <c r="L5" s="79"/>
      <c r="M5" s="80" t="s">
        <v>9</v>
      </c>
      <c r="N5" s="82"/>
    </row>
    <row r="6" spans="1:15" ht="25.15" customHeight="1">
      <c r="A6" s="71"/>
      <c r="B6" s="72"/>
      <c r="C6" s="75"/>
      <c r="D6" s="75"/>
      <c r="E6" s="75"/>
      <c r="F6" s="75"/>
      <c r="G6" s="75"/>
      <c r="H6" s="75"/>
      <c r="I6" s="76"/>
      <c r="J6" s="84" t="s">
        <v>0</v>
      </c>
      <c r="K6" s="85"/>
      <c r="L6" s="86"/>
      <c r="M6" s="81"/>
      <c r="N6" s="83"/>
    </row>
    <row r="7" spans="1:15" ht="30" customHeight="1">
      <c r="A7" s="87" t="s">
        <v>61</v>
      </c>
      <c r="B7" s="88"/>
      <c r="C7" s="2"/>
      <c r="D7" s="8" t="s">
        <v>62</v>
      </c>
      <c r="E7" s="8"/>
      <c r="F7" s="18" t="s">
        <v>6</v>
      </c>
      <c r="G7" s="9"/>
      <c r="H7" s="18" t="s">
        <v>55</v>
      </c>
      <c r="I7" s="9" t="s">
        <v>63</v>
      </c>
      <c r="J7" s="9"/>
      <c r="K7" s="22"/>
      <c r="L7" s="48" t="s">
        <v>64</v>
      </c>
      <c r="M7" s="7"/>
      <c r="N7" s="11"/>
    </row>
    <row r="8" spans="1:15" ht="22.5">
      <c r="A8" s="89" t="s">
        <v>24</v>
      </c>
      <c r="B8" s="9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5" s="6" customFormat="1" ht="25" customHeight="1">
      <c r="A9" s="12"/>
      <c r="B9" s="3"/>
      <c r="L9" s="3"/>
      <c r="M9" s="3"/>
      <c r="N9" s="13"/>
    </row>
    <row r="10" spans="1:15" s="6" customFormat="1" ht="25" customHeight="1">
      <c r="A10" s="12"/>
      <c r="B10" s="3"/>
      <c r="C10" s="3" t="s">
        <v>38</v>
      </c>
      <c r="D10" s="3"/>
      <c r="E10" s="3"/>
      <c r="F10" s="3"/>
      <c r="G10" s="3"/>
      <c r="H10" s="3"/>
      <c r="I10" s="3"/>
      <c r="J10" s="37">
        <v>21000</v>
      </c>
      <c r="K10" s="3" t="s">
        <v>70</v>
      </c>
      <c r="L10" s="3"/>
      <c r="M10" s="3"/>
      <c r="N10" s="13"/>
    </row>
    <row r="11" spans="1:15" s="6" customFormat="1" ht="25" customHeight="1">
      <c r="A11" s="12"/>
      <c r="B11" s="3"/>
      <c r="C11" s="3" t="s">
        <v>40</v>
      </c>
      <c r="D11" s="3"/>
      <c r="E11" s="3"/>
      <c r="F11" s="3"/>
      <c r="G11" s="3"/>
      <c r="H11" s="3"/>
      <c r="I11" s="3"/>
      <c r="J11" s="37">
        <f>J10*10%</f>
        <v>2100</v>
      </c>
      <c r="K11" s="3" t="s">
        <v>71</v>
      </c>
      <c r="L11" s="3"/>
      <c r="M11" s="3"/>
      <c r="N11" s="13"/>
    </row>
    <row r="12" spans="1:15" s="6" customFormat="1" ht="25" customHeight="1">
      <c r="A12" s="12"/>
      <c r="B12" s="3"/>
      <c r="C12" s="3" t="s">
        <v>39</v>
      </c>
      <c r="D12" s="3"/>
      <c r="E12" s="3"/>
      <c r="F12" s="3"/>
      <c r="G12" s="3"/>
      <c r="H12" s="37"/>
      <c r="I12" s="3"/>
      <c r="J12" s="38">
        <f>ROUND(J10*2.11%,0)</f>
        <v>443</v>
      </c>
      <c r="K12" s="3" t="s">
        <v>70</v>
      </c>
      <c r="L12" s="3"/>
      <c r="M12" s="3"/>
      <c r="N12" s="13"/>
    </row>
    <row r="13" spans="1:15" s="6" customFormat="1" ht="25" customHeight="1">
      <c r="A13" s="12"/>
      <c r="B13" s="3"/>
      <c r="C13" s="3" t="s">
        <v>75</v>
      </c>
      <c r="D13" s="3"/>
      <c r="E13" s="3"/>
      <c r="F13" s="3"/>
      <c r="G13" s="3"/>
      <c r="H13" s="3"/>
      <c r="I13" s="3"/>
      <c r="J13" s="38">
        <f>J10-J11-J12</f>
        <v>18457</v>
      </c>
      <c r="K13" s="3" t="s">
        <v>71</v>
      </c>
      <c r="L13" s="3"/>
      <c r="M13" s="3"/>
      <c r="N13" s="13"/>
    </row>
    <row r="14" spans="1:15" s="6" customFormat="1" ht="25" customHeight="1">
      <c r="A14" s="1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3"/>
    </row>
    <row r="15" spans="1:15" s="6" customFormat="1" ht="25" customHeight="1">
      <c r="A15" s="12"/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13"/>
    </row>
    <row r="16" spans="1:15" ht="25" customHeight="1" thickBot="1">
      <c r="A16" s="12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43" t="s">
        <v>11</v>
      </c>
      <c r="N16" s="44" t="s">
        <v>41</v>
      </c>
    </row>
    <row r="17" spans="1:14" s="21" customFormat="1" ht="25" customHeight="1">
      <c r="A17" s="56" t="s">
        <v>8</v>
      </c>
      <c r="B17" s="57"/>
      <c r="C17" s="57"/>
      <c r="D17" s="57"/>
      <c r="E17" s="58"/>
      <c r="F17" s="40" t="s">
        <v>3</v>
      </c>
      <c r="G17" s="40" t="s">
        <v>5</v>
      </c>
      <c r="H17" s="41" t="s">
        <v>12</v>
      </c>
      <c r="I17" s="54" t="s">
        <v>26</v>
      </c>
      <c r="J17" s="55"/>
      <c r="K17" s="59" t="s">
        <v>31</v>
      </c>
      <c r="L17" s="58"/>
      <c r="M17" s="45" t="s">
        <v>32</v>
      </c>
      <c r="N17" s="120" t="s">
        <v>10</v>
      </c>
    </row>
    <row r="18" spans="1:14" s="15" customFormat="1" ht="25" customHeight="1">
      <c r="A18" s="33" t="s">
        <v>16</v>
      </c>
      <c r="B18" s="60" t="s">
        <v>36</v>
      </c>
      <c r="C18" s="60"/>
      <c r="D18" s="60"/>
      <c r="E18" s="61"/>
      <c r="F18" s="36" t="s">
        <v>30</v>
      </c>
      <c r="G18" s="35" t="s">
        <v>19</v>
      </c>
      <c r="H18" s="104">
        <f>J13</f>
        <v>18457</v>
      </c>
      <c r="I18" s="91" t="s">
        <v>7</v>
      </c>
      <c r="J18" s="92"/>
      <c r="K18" s="50"/>
      <c r="L18" s="51"/>
      <c r="M18" s="104"/>
      <c r="N18" s="117"/>
    </row>
    <row r="19" spans="1:14" s="15" customFormat="1" ht="25" customHeight="1">
      <c r="A19" s="33" t="s">
        <v>17</v>
      </c>
      <c r="B19" s="60" t="s">
        <v>34</v>
      </c>
      <c r="C19" s="60"/>
      <c r="D19" s="60"/>
      <c r="E19" s="61"/>
      <c r="F19" s="36" t="s">
        <v>33</v>
      </c>
      <c r="G19" s="35" t="s">
        <v>19</v>
      </c>
      <c r="H19" s="104">
        <f>J11</f>
        <v>2100</v>
      </c>
      <c r="I19" s="91" t="s">
        <v>7</v>
      </c>
      <c r="J19" s="92"/>
      <c r="K19" s="50"/>
      <c r="L19" s="51"/>
      <c r="M19" s="104"/>
      <c r="N19" s="118"/>
    </row>
    <row r="20" spans="1:14" s="15" customFormat="1" ht="25" customHeight="1">
      <c r="A20" s="33" t="s">
        <v>18</v>
      </c>
      <c r="B20" s="60" t="s">
        <v>35</v>
      </c>
      <c r="C20" s="60"/>
      <c r="D20" s="60"/>
      <c r="E20" s="61"/>
      <c r="F20" s="36" t="s">
        <v>33</v>
      </c>
      <c r="G20" s="35" t="s">
        <v>19</v>
      </c>
      <c r="H20" s="104">
        <f>J12</f>
        <v>443</v>
      </c>
      <c r="I20" s="91" t="s">
        <v>7</v>
      </c>
      <c r="J20" s="92"/>
      <c r="K20" s="50"/>
      <c r="L20" s="51"/>
      <c r="M20" s="104"/>
      <c r="N20" s="118"/>
    </row>
    <row r="21" spans="1:14" s="15" customFormat="1" ht="25" customHeight="1" thickBot="1">
      <c r="A21" s="64" t="s">
        <v>37</v>
      </c>
      <c r="B21" s="65"/>
      <c r="C21" s="65"/>
      <c r="D21" s="65"/>
      <c r="E21" s="66"/>
      <c r="F21" s="34"/>
      <c r="G21" s="42" t="s">
        <v>19</v>
      </c>
      <c r="H21" s="105">
        <f>SUM(H18:H20)</f>
        <v>21000</v>
      </c>
      <c r="I21" s="62"/>
      <c r="J21" s="63"/>
      <c r="K21" s="52"/>
      <c r="L21" s="53"/>
      <c r="M21" s="105">
        <f>SUM(M18:M20)</f>
        <v>0</v>
      </c>
      <c r="N21" s="119"/>
    </row>
    <row r="22" spans="1:14" s="15" customFormat="1" ht="68.400000000000006" customHeight="1" thickBot="1">
      <c r="A22" s="46" t="s">
        <v>4</v>
      </c>
      <c r="B22" s="24" t="s">
        <v>28</v>
      </c>
      <c r="C22" s="24"/>
      <c r="D22" s="24"/>
      <c r="E22" s="25"/>
      <c r="F22" s="25"/>
      <c r="G22" s="49" t="s">
        <v>14</v>
      </c>
      <c r="H22" s="26"/>
      <c r="I22" s="23" t="s">
        <v>27</v>
      </c>
      <c r="J22" s="28" t="s">
        <v>13</v>
      </c>
      <c r="K22" s="27"/>
      <c r="L22" s="27"/>
      <c r="M22" s="39" t="s">
        <v>15</v>
      </c>
      <c r="N22" s="29"/>
    </row>
    <row r="23" spans="1:14" ht="24.75" customHeight="1">
      <c r="A23" s="16" t="s">
        <v>29</v>
      </c>
    </row>
  </sheetData>
  <mergeCells count="25">
    <mergeCell ref="B18:E18"/>
    <mergeCell ref="I18:J18"/>
    <mergeCell ref="K18:L18"/>
    <mergeCell ref="A1:N1"/>
    <mergeCell ref="A2:N2"/>
    <mergeCell ref="A5:B6"/>
    <mergeCell ref="C5:I6"/>
    <mergeCell ref="J5:L5"/>
    <mergeCell ref="M5:M6"/>
    <mergeCell ref="N5:N6"/>
    <mergeCell ref="J6:L6"/>
    <mergeCell ref="A7:B7"/>
    <mergeCell ref="A8:B8"/>
    <mergeCell ref="A17:E17"/>
    <mergeCell ref="I17:J17"/>
    <mergeCell ref="K17:L17"/>
    <mergeCell ref="A21:E21"/>
    <mergeCell ref="I21:J21"/>
    <mergeCell ref="K21:L21"/>
    <mergeCell ref="B19:E19"/>
    <mergeCell ref="I19:J19"/>
    <mergeCell ref="K19:L19"/>
    <mergeCell ref="B20:E20"/>
    <mergeCell ref="I20:J20"/>
    <mergeCell ref="K20:L20"/>
  </mergeCells>
  <phoneticPr fontId="4" type="noConversion"/>
  <printOptions horizontalCentered="1" verticalCentered="1" gridLinesSet="0"/>
  <pageMargins left="0.19685039370078741" right="0.19685039370078741" top="0.39370078740157483" bottom="0.19685039370078741" header="0.19685039370078741" footer="0.19685039370078741"/>
  <pageSetup paperSize="9" scale="87" orientation="landscape" cellComments="asDisplayed" horizontalDpi="4294967292" r:id="rId1"/>
  <headerFooter alignWithMargins="0"/>
  <ignoredErrors>
    <ignoredError sqref="A18:A20" numberStoredAsText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showGridLines="0" zoomScale="75" workbookViewId="0">
      <selection activeCell="M16" sqref="M16:N16"/>
    </sheetView>
  </sheetViews>
  <sheetFormatPr defaultColWidth="9" defaultRowHeight="24.75" customHeight="1"/>
  <cols>
    <col min="1" max="1" width="5.09765625" style="1" customWidth="1"/>
    <col min="2" max="2" width="6" style="1" bestFit="1" customWidth="1"/>
    <col min="3" max="3" width="4.59765625" style="1" customWidth="1"/>
    <col min="4" max="4" width="17.69921875" style="1" customWidth="1"/>
    <col min="5" max="5" width="6.34765625" style="1" customWidth="1"/>
    <col min="6" max="6" width="11.19921875" style="1" customWidth="1"/>
    <col min="7" max="7" width="7.1484375" style="1" customWidth="1"/>
    <col min="8" max="8" width="17.59765625" style="1" customWidth="1"/>
    <col min="9" max="9" width="5.3984375" style="1" customWidth="1"/>
    <col min="10" max="10" width="11.6484375" style="1" customWidth="1"/>
    <col min="11" max="11" width="8.546875" style="1" customWidth="1"/>
    <col min="12" max="12" width="19.19921875" style="1" customWidth="1"/>
    <col min="13" max="13" width="12.09765625" style="1" bestFit="1" customWidth="1"/>
    <col min="14" max="14" width="17.296875" style="1" customWidth="1"/>
    <col min="15" max="16384" width="9" style="1"/>
  </cols>
  <sheetData>
    <row r="1" spans="1:15" ht="27.9">
      <c r="A1" s="67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27.9">
      <c r="A2" s="68" t="s">
        <v>53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5" s="3" customFormat="1" ht="12" customHeight="1">
      <c r="A3" s="17"/>
      <c r="K3" s="4"/>
      <c r="L3" s="4"/>
      <c r="M3" s="4"/>
      <c r="N3" s="5"/>
      <c r="O3" s="1"/>
    </row>
    <row r="4" spans="1:15" s="6" customFormat="1" ht="25.15" customHeight="1" thickBot="1">
      <c r="A4" s="31" t="s">
        <v>2</v>
      </c>
      <c r="B4" s="19"/>
      <c r="C4" s="19"/>
      <c r="D4" s="19"/>
      <c r="E4" s="19"/>
      <c r="F4" s="31" t="s">
        <v>1</v>
      </c>
      <c r="G4" s="19"/>
      <c r="H4" s="19"/>
      <c r="I4" s="9"/>
      <c r="J4" s="9" t="s">
        <v>58</v>
      </c>
      <c r="K4" s="32"/>
      <c r="L4" s="32"/>
      <c r="M4" s="4"/>
      <c r="N4" s="32" t="s">
        <v>68</v>
      </c>
      <c r="O4" s="1"/>
    </row>
    <row r="5" spans="1:15" ht="25.15" customHeight="1">
      <c r="A5" s="69" t="s">
        <v>59</v>
      </c>
      <c r="B5" s="70"/>
      <c r="C5" s="73" t="s">
        <v>78</v>
      </c>
      <c r="D5" s="73"/>
      <c r="E5" s="73"/>
      <c r="F5" s="73"/>
      <c r="G5" s="73"/>
      <c r="H5" s="73"/>
      <c r="I5" s="74"/>
      <c r="J5" s="77" t="s">
        <v>60</v>
      </c>
      <c r="K5" s="78"/>
      <c r="L5" s="79"/>
      <c r="M5" s="80" t="s">
        <v>9</v>
      </c>
      <c r="N5" s="82"/>
    </row>
    <row r="6" spans="1:15" ht="25.15" customHeight="1">
      <c r="A6" s="71"/>
      <c r="B6" s="72"/>
      <c r="C6" s="75"/>
      <c r="D6" s="75"/>
      <c r="E6" s="75"/>
      <c r="F6" s="75"/>
      <c r="G6" s="75"/>
      <c r="H6" s="75"/>
      <c r="I6" s="76"/>
      <c r="J6" s="84" t="s">
        <v>0</v>
      </c>
      <c r="K6" s="85"/>
      <c r="L6" s="86"/>
      <c r="M6" s="81"/>
      <c r="N6" s="83"/>
    </row>
    <row r="7" spans="1:15" ht="30" customHeight="1">
      <c r="A7" s="87" t="s">
        <v>61</v>
      </c>
      <c r="B7" s="88"/>
      <c r="C7" s="2"/>
      <c r="D7" s="8" t="s">
        <v>62</v>
      </c>
      <c r="E7" s="8"/>
      <c r="F7" s="18" t="s">
        <v>6</v>
      </c>
      <c r="G7" s="9"/>
      <c r="H7" s="18" t="s">
        <v>55</v>
      </c>
      <c r="I7" s="9" t="s">
        <v>63</v>
      </c>
      <c r="J7" s="9"/>
      <c r="K7" s="22"/>
      <c r="L7" s="48" t="s">
        <v>64</v>
      </c>
      <c r="M7" s="7"/>
      <c r="N7" s="11"/>
    </row>
    <row r="8" spans="1:15" ht="22.5">
      <c r="A8" s="89" t="s">
        <v>24</v>
      </c>
      <c r="B8" s="9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5" s="6" customFormat="1" ht="25" customHeight="1">
      <c r="A9" s="12"/>
      <c r="B9" s="3"/>
      <c r="L9" s="3"/>
      <c r="M9" s="3"/>
      <c r="N9" s="13"/>
    </row>
    <row r="10" spans="1:15" s="6" customFormat="1" ht="25" customHeight="1">
      <c r="A10" s="12"/>
      <c r="B10" s="3"/>
      <c r="C10" s="3" t="s">
        <v>79</v>
      </c>
      <c r="D10" s="3"/>
      <c r="E10" s="3"/>
      <c r="F10" s="3"/>
      <c r="G10" s="3"/>
      <c r="H10" s="37">
        <v>6500000</v>
      </c>
      <c r="I10" s="3" t="s">
        <v>70</v>
      </c>
      <c r="L10" s="3"/>
      <c r="M10" s="3"/>
      <c r="N10" s="13"/>
    </row>
    <row r="11" spans="1:15" s="6" customFormat="1" ht="25" customHeight="1">
      <c r="A11" s="12"/>
      <c r="B11" s="3"/>
      <c r="C11" s="17" t="s">
        <v>80</v>
      </c>
      <c r="D11" s="3"/>
      <c r="E11" s="3"/>
      <c r="F11" s="3"/>
      <c r="G11" s="3"/>
      <c r="H11" s="37">
        <f>H10*5%</f>
        <v>325000</v>
      </c>
      <c r="I11" s="3" t="s">
        <v>70</v>
      </c>
      <c r="L11" s="3"/>
      <c r="M11" s="3"/>
      <c r="N11" s="13"/>
    </row>
    <row r="12" spans="1:15" s="6" customFormat="1" ht="25" customHeight="1" thickBot="1">
      <c r="A12" s="12"/>
      <c r="B12" s="3"/>
      <c r="C12" s="3"/>
      <c r="D12" s="17" t="s">
        <v>74</v>
      </c>
      <c r="E12" s="3"/>
      <c r="F12" s="3"/>
      <c r="G12" s="3"/>
      <c r="H12" s="103">
        <f>SUM(H10:H11)</f>
        <v>6825000</v>
      </c>
      <c r="I12" s="3" t="s">
        <v>70</v>
      </c>
      <c r="L12" s="3"/>
      <c r="M12" s="3"/>
      <c r="N12" s="13"/>
    </row>
    <row r="13" spans="1:15" s="6" customFormat="1" ht="25" customHeight="1" thickTop="1">
      <c r="A13" s="12"/>
      <c r="B13" s="3"/>
      <c r="C13" s="3"/>
      <c r="D13" s="3"/>
      <c r="E13" s="3"/>
      <c r="F13" s="3"/>
      <c r="G13" s="3"/>
      <c r="H13" s="38"/>
      <c r="I13" s="3"/>
      <c r="L13" s="3"/>
      <c r="M13" s="3"/>
      <c r="N13" s="13"/>
    </row>
    <row r="14" spans="1:15" s="6" customFormat="1" ht="25" customHeight="1">
      <c r="A14" s="1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3"/>
    </row>
    <row r="15" spans="1:15" s="6" customFormat="1" ht="25" customHeight="1">
      <c r="A15" s="12"/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13"/>
    </row>
    <row r="16" spans="1:15" ht="25" customHeight="1" thickBot="1">
      <c r="A16" s="12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43" t="s">
        <v>82</v>
      </c>
      <c r="N16" s="44" t="s">
        <v>83</v>
      </c>
    </row>
    <row r="17" spans="1:14" s="21" customFormat="1" ht="25" customHeight="1">
      <c r="A17" s="56" t="s">
        <v>8</v>
      </c>
      <c r="B17" s="57"/>
      <c r="C17" s="57"/>
      <c r="D17" s="57"/>
      <c r="E17" s="58"/>
      <c r="F17" s="47" t="s">
        <v>3</v>
      </c>
      <c r="G17" s="47" t="s">
        <v>5</v>
      </c>
      <c r="H17" s="41" t="s">
        <v>12</v>
      </c>
      <c r="I17" s="54" t="s">
        <v>26</v>
      </c>
      <c r="J17" s="55"/>
      <c r="K17" s="59" t="s">
        <v>31</v>
      </c>
      <c r="L17" s="58"/>
      <c r="M17" s="45" t="s">
        <v>32</v>
      </c>
      <c r="N17" s="120" t="s">
        <v>10</v>
      </c>
    </row>
    <row r="18" spans="1:14" s="15" customFormat="1" ht="25" customHeight="1">
      <c r="A18" s="33" t="s">
        <v>16</v>
      </c>
      <c r="B18" s="60" t="s">
        <v>36</v>
      </c>
      <c r="C18" s="60"/>
      <c r="D18" s="60"/>
      <c r="E18" s="61"/>
      <c r="F18" s="36" t="s">
        <v>30</v>
      </c>
      <c r="G18" s="35" t="s">
        <v>19</v>
      </c>
      <c r="H18" s="104">
        <f>H12</f>
        <v>6825000</v>
      </c>
      <c r="I18" s="91" t="s">
        <v>7</v>
      </c>
      <c r="J18" s="92"/>
      <c r="K18" s="50"/>
      <c r="L18" s="51"/>
      <c r="M18" s="104"/>
      <c r="N18" s="117"/>
    </row>
    <row r="19" spans="1:14" s="15" customFormat="1" ht="25" customHeight="1">
      <c r="A19" s="33" t="s">
        <v>17</v>
      </c>
      <c r="B19" s="60"/>
      <c r="C19" s="60"/>
      <c r="D19" s="60"/>
      <c r="E19" s="61"/>
      <c r="F19" s="36"/>
      <c r="G19" s="35"/>
      <c r="H19" s="104"/>
      <c r="I19" s="91"/>
      <c r="J19" s="92"/>
      <c r="K19" s="50"/>
      <c r="L19" s="51"/>
      <c r="M19" s="104"/>
      <c r="N19" s="118"/>
    </row>
    <row r="20" spans="1:14" s="15" customFormat="1" ht="25" customHeight="1">
      <c r="A20" s="33" t="s">
        <v>18</v>
      </c>
      <c r="B20" s="60"/>
      <c r="C20" s="60"/>
      <c r="D20" s="60"/>
      <c r="E20" s="61"/>
      <c r="F20" s="36"/>
      <c r="G20" s="35"/>
      <c r="H20" s="104"/>
      <c r="I20" s="91"/>
      <c r="J20" s="92"/>
      <c r="K20" s="50"/>
      <c r="L20" s="51"/>
      <c r="M20" s="104"/>
      <c r="N20" s="118"/>
    </row>
    <row r="21" spans="1:14" s="15" customFormat="1" ht="25" customHeight="1" thickBot="1">
      <c r="A21" s="64" t="s">
        <v>37</v>
      </c>
      <c r="B21" s="65"/>
      <c r="C21" s="65"/>
      <c r="D21" s="65"/>
      <c r="E21" s="66"/>
      <c r="F21" s="34"/>
      <c r="G21" s="42" t="s">
        <v>19</v>
      </c>
      <c r="H21" s="105">
        <f>SUM(H18:H20)</f>
        <v>6825000</v>
      </c>
      <c r="I21" s="62"/>
      <c r="J21" s="63"/>
      <c r="K21" s="52"/>
      <c r="L21" s="53"/>
      <c r="M21" s="105">
        <f>SUM(M18:M20)</f>
        <v>0</v>
      </c>
      <c r="N21" s="119"/>
    </row>
    <row r="22" spans="1:14" s="15" customFormat="1" ht="68.400000000000006" customHeight="1" thickBot="1">
      <c r="A22" s="46" t="s">
        <v>4</v>
      </c>
      <c r="B22" s="24" t="s">
        <v>28</v>
      </c>
      <c r="C22" s="24"/>
      <c r="D22" s="24"/>
      <c r="E22" s="25"/>
      <c r="F22" s="25"/>
      <c r="G22" s="49" t="s">
        <v>14</v>
      </c>
      <c r="H22" s="26"/>
      <c r="I22" s="23" t="s">
        <v>27</v>
      </c>
      <c r="J22" s="28" t="s">
        <v>13</v>
      </c>
      <c r="K22" s="27"/>
      <c r="L22" s="27"/>
      <c r="M22" s="39" t="s">
        <v>15</v>
      </c>
      <c r="N22" s="29"/>
    </row>
    <row r="23" spans="1:14" ht="24.75" customHeight="1">
      <c r="A23" s="16" t="s">
        <v>29</v>
      </c>
    </row>
  </sheetData>
  <mergeCells count="25">
    <mergeCell ref="A21:E21"/>
    <mergeCell ref="I21:J21"/>
    <mergeCell ref="K21:L21"/>
    <mergeCell ref="B19:E19"/>
    <mergeCell ref="I19:J19"/>
    <mergeCell ref="K19:L19"/>
    <mergeCell ref="B20:E20"/>
    <mergeCell ref="I20:J20"/>
    <mergeCell ref="K20:L20"/>
    <mergeCell ref="A7:B7"/>
    <mergeCell ref="A8:B8"/>
    <mergeCell ref="A17:E17"/>
    <mergeCell ref="I17:J17"/>
    <mergeCell ref="K17:L17"/>
    <mergeCell ref="B18:E18"/>
    <mergeCell ref="I18:J18"/>
    <mergeCell ref="K18:L18"/>
    <mergeCell ref="A1:N1"/>
    <mergeCell ref="A2:N2"/>
    <mergeCell ref="A5:B6"/>
    <mergeCell ref="C5:I6"/>
    <mergeCell ref="J5:L5"/>
    <mergeCell ref="M5:M6"/>
    <mergeCell ref="N5:N6"/>
    <mergeCell ref="J6:L6"/>
  </mergeCells>
  <phoneticPr fontId="4" type="noConversion"/>
  <printOptions horizontalCentered="1" verticalCentered="1" gridLinesSet="0"/>
  <pageMargins left="0.19685039370078741" right="0.19685039370078741" top="0.39370078740157483" bottom="0.19685039370078741" header="0.19685039370078741" footer="0.19685039370078741"/>
  <pageSetup paperSize="9" scale="87" orientation="landscape" cellComments="asDisplayed" horizontalDpi="4294967292" r:id="rId1"/>
  <headerFooter alignWithMargins="0"/>
  <ignoredErrors>
    <ignoredError sqref="A18:A20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showGridLines="0" zoomScale="75" workbookViewId="0">
      <selection activeCell="N12" sqref="N12"/>
    </sheetView>
  </sheetViews>
  <sheetFormatPr defaultColWidth="9" defaultRowHeight="24.75" customHeight="1"/>
  <cols>
    <col min="1" max="1" width="5.09765625" style="1" customWidth="1"/>
    <col min="2" max="2" width="6" style="1" bestFit="1" customWidth="1"/>
    <col min="3" max="3" width="4.59765625" style="1" customWidth="1"/>
    <col min="4" max="4" width="17.69921875" style="1" customWidth="1"/>
    <col min="5" max="5" width="6.34765625" style="1" customWidth="1"/>
    <col min="6" max="6" width="11.19921875" style="1" customWidth="1"/>
    <col min="7" max="7" width="7.1484375" style="1" customWidth="1"/>
    <col min="8" max="8" width="17.59765625" style="1" customWidth="1"/>
    <col min="9" max="9" width="5.3984375" style="1" customWidth="1"/>
    <col min="10" max="10" width="11.6484375" style="1" customWidth="1"/>
    <col min="11" max="11" width="8.546875" style="1" customWidth="1"/>
    <col min="12" max="12" width="19.19921875" style="1" customWidth="1"/>
    <col min="13" max="13" width="12.09765625" style="1" bestFit="1" customWidth="1"/>
    <col min="14" max="14" width="17.296875" style="1" customWidth="1"/>
    <col min="15" max="16384" width="9" style="1"/>
  </cols>
  <sheetData>
    <row r="1" spans="1:15" ht="27.9">
      <c r="A1" s="67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27.9">
      <c r="A2" s="68" t="s">
        <v>53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5" s="3" customFormat="1" ht="12" customHeight="1">
      <c r="A3" s="17"/>
      <c r="K3" s="4"/>
      <c r="L3" s="4"/>
      <c r="M3" s="4"/>
      <c r="N3" s="5"/>
      <c r="O3" s="1"/>
    </row>
    <row r="4" spans="1:15" s="6" customFormat="1" ht="25.15" customHeight="1" thickBot="1">
      <c r="A4" s="31" t="s">
        <v>2</v>
      </c>
      <c r="B4" s="19"/>
      <c r="C4" s="19"/>
      <c r="D4" s="19"/>
      <c r="E4" s="19"/>
      <c r="F4" s="31" t="s">
        <v>1</v>
      </c>
      <c r="G4" s="19"/>
      <c r="H4" s="19"/>
      <c r="I4" s="9"/>
      <c r="J4" s="9" t="s">
        <v>58</v>
      </c>
      <c r="K4" s="32"/>
      <c r="L4" s="32"/>
      <c r="M4" s="4"/>
      <c r="N4" s="32" t="s">
        <v>68</v>
      </c>
      <c r="O4" s="1"/>
    </row>
    <row r="5" spans="1:15" ht="25.15" customHeight="1">
      <c r="A5" s="69" t="s">
        <v>59</v>
      </c>
      <c r="B5" s="70"/>
      <c r="C5" s="73" t="s">
        <v>66</v>
      </c>
      <c r="D5" s="73"/>
      <c r="E5" s="73"/>
      <c r="F5" s="73"/>
      <c r="G5" s="73"/>
      <c r="H5" s="73"/>
      <c r="I5" s="74"/>
      <c r="J5" s="77" t="s">
        <v>60</v>
      </c>
      <c r="K5" s="78"/>
      <c r="L5" s="79"/>
      <c r="M5" s="80" t="s">
        <v>9</v>
      </c>
      <c r="N5" s="82"/>
    </row>
    <row r="6" spans="1:15" ht="25.15" customHeight="1">
      <c r="A6" s="71"/>
      <c r="B6" s="72"/>
      <c r="C6" s="75"/>
      <c r="D6" s="75"/>
      <c r="E6" s="75"/>
      <c r="F6" s="75"/>
      <c r="G6" s="75"/>
      <c r="H6" s="75"/>
      <c r="I6" s="76"/>
      <c r="J6" s="84" t="s">
        <v>0</v>
      </c>
      <c r="K6" s="85"/>
      <c r="L6" s="86"/>
      <c r="M6" s="81"/>
      <c r="N6" s="83"/>
    </row>
    <row r="7" spans="1:15" ht="30" customHeight="1">
      <c r="A7" s="87" t="s">
        <v>61</v>
      </c>
      <c r="B7" s="88"/>
      <c r="C7" s="2"/>
      <c r="D7" s="8" t="s">
        <v>62</v>
      </c>
      <c r="E7" s="8"/>
      <c r="F7" s="18" t="s">
        <v>6</v>
      </c>
      <c r="G7" s="9"/>
      <c r="H7" s="18" t="s">
        <v>55</v>
      </c>
      <c r="I7" s="9" t="s">
        <v>63</v>
      </c>
      <c r="J7" s="9"/>
      <c r="K7" s="22"/>
      <c r="L7" s="48" t="s">
        <v>64</v>
      </c>
      <c r="M7" s="7"/>
      <c r="N7" s="11"/>
    </row>
    <row r="8" spans="1:15" ht="22.5">
      <c r="A8" s="89" t="s">
        <v>24</v>
      </c>
      <c r="B8" s="9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5" s="6" customFormat="1" ht="25" customHeight="1">
      <c r="A9" s="12"/>
      <c r="B9" s="3"/>
      <c r="C9" s="3" t="s">
        <v>67</v>
      </c>
      <c r="D9" s="3"/>
      <c r="E9" s="3"/>
      <c r="F9" s="3"/>
      <c r="G9" s="3"/>
      <c r="H9" s="37">
        <v>200000</v>
      </c>
      <c r="I9" s="3" t="s">
        <v>70</v>
      </c>
      <c r="L9" s="3"/>
      <c r="M9" s="3"/>
      <c r="N9" s="13"/>
    </row>
    <row r="10" spans="1:15" s="6" customFormat="1" ht="25" customHeight="1">
      <c r="A10" s="12"/>
      <c r="B10" s="3"/>
      <c r="C10" s="17" t="s">
        <v>73</v>
      </c>
      <c r="D10" s="3"/>
      <c r="E10" s="3"/>
      <c r="F10" s="3"/>
      <c r="G10" s="3"/>
      <c r="H10" s="37">
        <v>5000</v>
      </c>
      <c r="I10" s="3" t="s">
        <v>70</v>
      </c>
      <c r="L10" s="3"/>
      <c r="M10" s="3"/>
      <c r="N10" s="13"/>
    </row>
    <row r="11" spans="1:15" s="6" customFormat="1" ht="25" customHeight="1" thickBot="1">
      <c r="A11" s="12"/>
      <c r="B11" s="3"/>
      <c r="C11" s="17"/>
      <c r="D11" s="17" t="s">
        <v>74</v>
      </c>
      <c r="H11" s="103">
        <f>SUM(H9:H10)</f>
        <v>205000</v>
      </c>
      <c r="I11" s="3" t="s">
        <v>71</v>
      </c>
      <c r="L11" s="3"/>
      <c r="M11" s="3"/>
      <c r="N11" s="13"/>
    </row>
    <row r="12" spans="1:15" s="6" customFormat="1" ht="25" customHeight="1" thickTop="1">
      <c r="A12" s="12"/>
      <c r="B12" s="3"/>
      <c r="L12" s="3"/>
      <c r="M12" s="3"/>
      <c r="N12" s="13"/>
    </row>
    <row r="13" spans="1:15" s="6" customFormat="1" ht="25" customHeight="1">
      <c r="A13" s="12"/>
      <c r="B13" s="3"/>
      <c r="C13" s="3" t="s">
        <v>76</v>
      </c>
      <c r="D13" s="3"/>
      <c r="E13" s="3"/>
      <c r="F13" s="3"/>
      <c r="G13" s="3"/>
      <c r="H13" s="37">
        <f>H11*10%</f>
        <v>20500</v>
      </c>
      <c r="I13" s="3" t="s">
        <v>71</v>
      </c>
      <c r="L13" s="3"/>
      <c r="M13" s="3"/>
      <c r="N13" s="13"/>
    </row>
    <row r="14" spans="1:15" s="6" customFormat="1" ht="25" customHeight="1">
      <c r="A14" s="12"/>
      <c r="B14" s="3"/>
      <c r="C14" s="3" t="s">
        <v>72</v>
      </c>
      <c r="D14" s="3"/>
      <c r="E14" s="3"/>
      <c r="F14" s="3"/>
      <c r="G14" s="3"/>
      <c r="H14" s="38">
        <f>H11-H13</f>
        <v>184500</v>
      </c>
      <c r="I14" s="3" t="s">
        <v>70</v>
      </c>
      <c r="L14" s="3"/>
      <c r="M14" s="3"/>
      <c r="N14" s="13"/>
    </row>
    <row r="15" spans="1:15" s="6" customFormat="1" ht="25" customHeight="1">
      <c r="A15" s="12"/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13"/>
    </row>
    <row r="16" spans="1:15" ht="25" customHeight="1" thickBot="1">
      <c r="A16" s="12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43" t="s">
        <v>11</v>
      </c>
      <c r="N16" s="44" t="s">
        <v>84</v>
      </c>
    </row>
    <row r="17" spans="1:14" s="21" customFormat="1" ht="25" customHeight="1">
      <c r="A17" s="56" t="s">
        <v>8</v>
      </c>
      <c r="B17" s="57"/>
      <c r="C17" s="57"/>
      <c r="D17" s="57"/>
      <c r="E17" s="58"/>
      <c r="F17" s="47" t="s">
        <v>3</v>
      </c>
      <c r="G17" s="47" t="s">
        <v>5</v>
      </c>
      <c r="H17" s="41" t="s">
        <v>12</v>
      </c>
      <c r="I17" s="54" t="s">
        <v>26</v>
      </c>
      <c r="J17" s="55"/>
      <c r="K17" s="59" t="s">
        <v>31</v>
      </c>
      <c r="L17" s="58"/>
      <c r="M17" s="45" t="s">
        <v>32</v>
      </c>
      <c r="N17" s="120" t="s">
        <v>10</v>
      </c>
    </row>
    <row r="18" spans="1:14" s="15" customFormat="1" ht="25" customHeight="1">
      <c r="A18" s="33" t="s">
        <v>16</v>
      </c>
      <c r="B18" s="60" t="s">
        <v>69</v>
      </c>
      <c r="C18" s="60"/>
      <c r="D18" s="60"/>
      <c r="E18" s="61"/>
      <c r="F18" s="36" t="s">
        <v>30</v>
      </c>
      <c r="G18" s="35" t="s">
        <v>19</v>
      </c>
      <c r="H18" s="104">
        <f>H14</f>
        <v>184500</v>
      </c>
      <c r="I18" s="91" t="s">
        <v>7</v>
      </c>
      <c r="J18" s="92"/>
      <c r="K18" s="50"/>
      <c r="L18" s="51"/>
      <c r="M18" s="104"/>
      <c r="N18" s="117"/>
    </row>
    <row r="19" spans="1:14" s="15" customFormat="1" ht="25" customHeight="1">
      <c r="A19" s="33" t="s">
        <v>17</v>
      </c>
      <c r="B19" s="60" t="s">
        <v>34</v>
      </c>
      <c r="C19" s="60"/>
      <c r="D19" s="60"/>
      <c r="E19" s="61"/>
      <c r="F19" s="36" t="s">
        <v>33</v>
      </c>
      <c r="G19" s="35" t="s">
        <v>19</v>
      </c>
      <c r="H19" s="104">
        <f>H13</f>
        <v>20500</v>
      </c>
      <c r="I19" s="91" t="s">
        <v>7</v>
      </c>
      <c r="J19" s="92"/>
      <c r="K19" s="50"/>
      <c r="L19" s="51"/>
      <c r="M19" s="104"/>
      <c r="N19" s="118"/>
    </row>
    <row r="20" spans="1:14" s="15" customFormat="1" ht="25" customHeight="1">
      <c r="A20" s="33" t="s">
        <v>18</v>
      </c>
      <c r="B20" s="107"/>
      <c r="C20" s="107"/>
      <c r="D20" s="107"/>
      <c r="E20" s="108"/>
      <c r="F20" s="109"/>
      <c r="G20" s="110"/>
      <c r="H20" s="111"/>
      <c r="I20" s="112"/>
      <c r="J20" s="113"/>
      <c r="K20" s="114"/>
      <c r="L20" s="115"/>
      <c r="M20" s="111"/>
      <c r="N20" s="118"/>
    </row>
    <row r="21" spans="1:14" s="15" customFormat="1" ht="25" customHeight="1" thickBot="1">
      <c r="A21" s="64" t="s">
        <v>37</v>
      </c>
      <c r="B21" s="65"/>
      <c r="C21" s="65"/>
      <c r="D21" s="65"/>
      <c r="E21" s="66"/>
      <c r="F21" s="34"/>
      <c r="G21" s="42" t="s">
        <v>19</v>
      </c>
      <c r="H21" s="106">
        <f>SUM(H18:H20)</f>
        <v>205000</v>
      </c>
      <c r="I21" s="62"/>
      <c r="J21" s="63"/>
      <c r="K21" s="52"/>
      <c r="L21" s="53"/>
      <c r="M21" s="106">
        <f>SUM(M18:M20)</f>
        <v>0</v>
      </c>
      <c r="N21" s="119"/>
    </row>
    <row r="22" spans="1:14" s="15" customFormat="1" ht="68.400000000000006" customHeight="1" thickBot="1">
      <c r="A22" s="46" t="s">
        <v>4</v>
      </c>
      <c r="B22" s="24" t="s">
        <v>28</v>
      </c>
      <c r="C22" s="24"/>
      <c r="D22" s="24"/>
      <c r="E22" s="25"/>
      <c r="F22" s="25"/>
      <c r="G22" s="49" t="s">
        <v>14</v>
      </c>
      <c r="H22" s="26"/>
      <c r="I22" s="23" t="s">
        <v>27</v>
      </c>
      <c r="J22" s="28" t="s">
        <v>13</v>
      </c>
      <c r="K22" s="27"/>
      <c r="L22" s="27"/>
      <c r="M22" s="39" t="s">
        <v>15</v>
      </c>
      <c r="N22" s="29"/>
    </row>
    <row r="23" spans="1:14" ht="24.75" customHeight="1">
      <c r="A23" s="16" t="s">
        <v>29</v>
      </c>
    </row>
  </sheetData>
  <mergeCells count="22">
    <mergeCell ref="A21:E21"/>
    <mergeCell ref="I21:J21"/>
    <mergeCell ref="K21:L21"/>
    <mergeCell ref="B19:E19"/>
    <mergeCell ref="I19:J19"/>
    <mergeCell ref="K19:L19"/>
    <mergeCell ref="A7:B7"/>
    <mergeCell ref="A8:B8"/>
    <mergeCell ref="A17:E17"/>
    <mergeCell ref="I17:J17"/>
    <mergeCell ref="K17:L17"/>
    <mergeCell ref="B18:E18"/>
    <mergeCell ref="I18:J18"/>
    <mergeCell ref="K18:L18"/>
    <mergeCell ref="A1:N1"/>
    <mergeCell ref="A2:N2"/>
    <mergeCell ref="A5:B6"/>
    <mergeCell ref="C5:I6"/>
    <mergeCell ref="J5:L5"/>
    <mergeCell ref="M5:M6"/>
    <mergeCell ref="N5:N6"/>
    <mergeCell ref="J6:L6"/>
  </mergeCells>
  <phoneticPr fontId="5" type="noConversion"/>
  <printOptions horizontalCentered="1" verticalCentered="1" gridLinesSet="0"/>
  <pageMargins left="0.19685039370078741" right="0.19685039370078741" top="0.39370078740157483" bottom="0.19685039370078741" header="0.19685039370078741" footer="0.19685039370078741"/>
  <pageSetup paperSize="9" scale="87" orientation="landscape" cellComments="asDisplayed" horizontalDpi="4294967292" r:id="rId1"/>
  <headerFooter alignWithMargins="0"/>
  <ignoredErrors>
    <ignoredError sqref="A18:A20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空白</vt:lpstr>
      <vt:lpstr>填寫說明</vt:lpstr>
      <vt:lpstr>範例(租金_自然人)</vt:lpstr>
      <vt:lpstr>範例(租金_法人)</vt:lpstr>
      <vt:lpstr>範例(執行業務)</vt:lpstr>
      <vt:lpstr>空白!Print_Titles</vt:lpstr>
      <vt:lpstr>填寫說明!Print_Titles</vt:lpstr>
      <vt:lpstr>'範例(租金_自然人)'!Print_Titles</vt:lpstr>
      <vt:lpstr>'範例(租金_法人)'!Print_Titles</vt:lpstr>
      <vt:lpstr>'範例(執行業務)'!Print_Titles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e042</dc:creator>
  <cp:lastModifiedBy>e042</cp:lastModifiedBy>
  <cp:lastPrinted>2021-08-26T08:04:33Z</cp:lastPrinted>
  <dcterms:created xsi:type="dcterms:W3CDTF">2021-08-20T07:44:36Z</dcterms:created>
  <dcterms:modified xsi:type="dcterms:W3CDTF">2021-08-31T08:49:37Z</dcterms:modified>
</cp:coreProperties>
</file>